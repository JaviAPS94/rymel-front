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ocuments\Proyecto WEB\Módulo Diseño Eléctrico\"/>
    </mc:Choice>
  </mc:AlternateContent>
  <xr:revisionPtr revIDLastSave="0" documentId="13_ncr:1_{6778E278-B7C3-4E95-808E-7AE0CB007831}" xr6:coauthVersionLast="47" xr6:coauthVersionMax="47" xr10:uidLastSave="{00000000-0000-0000-0000-000000000000}"/>
  <bookViews>
    <workbookView xWindow="28680" yWindow="750" windowWidth="29040" windowHeight="15720" xr2:uid="{F3CBB56D-B91A-479A-926B-9D07B17E5E17}"/>
  </bookViews>
  <sheets>
    <sheet name="Convencionales Monofásicos" sheetId="5" r:id="rId1"/>
    <sheet name="Tablas" sheetId="3" r:id="rId2"/>
    <sheet name="Lista de materiales" sheetId="2" r:id="rId3"/>
    <sheet name="Hoja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0" i="5" l="1"/>
  <c r="C6" i="5"/>
  <c r="I39" i="5"/>
  <c r="G17" i="5"/>
  <c r="I22" i="5" s="1"/>
  <c r="I25" i="5" s="1"/>
  <c r="AE42" i="5"/>
  <c r="AE41" i="5"/>
  <c r="AE40" i="5"/>
  <c r="AE39" i="5"/>
  <c r="AE38" i="5"/>
  <c r="AE37" i="5"/>
  <c r="AE36" i="5"/>
  <c r="AE35" i="5"/>
  <c r="AE34" i="5"/>
  <c r="AE33" i="5"/>
  <c r="T33" i="5"/>
  <c r="T35" i="5"/>
  <c r="T36" i="5"/>
  <c r="T37" i="5"/>
  <c r="F87" i="1"/>
  <c r="F83" i="1"/>
  <c r="F81" i="1"/>
  <c r="C85" i="1"/>
  <c r="T29" i="5"/>
  <c r="T28" i="5"/>
  <c r="F73" i="1"/>
  <c r="B225" i="3"/>
  <c r="B224" i="3"/>
  <c r="B223" i="3"/>
  <c r="B222" i="3"/>
  <c r="B221" i="3"/>
  <c r="B220" i="3"/>
  <c r="B216" i="3"/>
  <c r="B215" i="3"/>
  <c r="B214" i="3"/>
  <c r="B213" i="3"/>
  <c r="B212" i="3"/>
  <c r="B211" i="3"/>
  <c r="D207" i="3"/>
  <c r="D206" i="3"/>
  <c r="D205" i="3"/>
  <c r="D200" i="3"/>
  <c r="D199" i="3"/>
  <c r="D198" i="3"/>
  <c r="D197" i="3"/>
  <c r="B193" i="3"/>
  <c r="B207" i="3" s="1"/>
  <c r="B192" i="3"/>
  <c r="B206" i="3" s="1"/>
  <c r="B191" i="3"/>
  <c r="B205" i="3" s="1"/>
  <c r="B187" i="3"/>
  <c r="D201" i="3" s="1"/>
  <c r="B201" i="3" s="1"/>
  <c r="B186" i="3"/>
  <c r="B200" i="3" s="1"/>
  <c r="B185" i="3"/>
  <c r="B199" i="3" s="1"/>
  <c r="B184" i="3"/>
  <c r="B198" i="3" s="1"/>
  <c r="B183" i="3"/>
  <c r="B197" i="3" s="1"/>
  <c r="F179" i="3"/>
  <c r="F207" i="3" s="1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C65" i="1"/>
  <c r="C11" i="1"/>
  <c r="C87" i="1"/>
  <c r="G39" i="3"/>
  <c r="E39" i="3"/>
  <c r="G38" i="3"/>
  <c r="E38" i="3"/>
  <c r="G37" i="3"/>
  <c r="E37" i="3"/>
  <c r="G36" i="3"/>
  <c r="E36" i="3"/>
  <c r="G35" i="3"/>
  <c r="E35" i="3"/>
  <c r="G34" i="3"/>
  <c r="E34" i="3"/>
  <c r="G33" i="3"/>
  <c r="E33" i="3"/>
  <c r="G32" i="3"/>
  <c r="E32" i="3"/>
  <c r="G31" i="3"/>
  <c r="E31" i="3"/>
  <c r="G30" i="3"/>
  <c r="E30" i="3"/>
  <c r="G29" i="3"/>
  <c r="E29" i="3"/>
  <c r="G28" i="3"/>
  <c r="E28" i="3"/>
  <c r="G27" i="3"/>
  <c r="E27" i="3"/>
  <c r="G26" i="3"/>
  <c r="E26" i="3"/>
  <c r="G25" i="3"/>
  <c r="E25" i="3"/>
  <c r="G24" i="3"/>
  <c r="E24" i="3"/>
  <c r="G23" i="3"/>
  <c r="E23" i="3"/>
  <c r="G22" i="3"/>
  <c r="E22" i="3"/>
  <c r="G21" i="3"/>
  <c r="E21" i="3"/>
  <c r="G20" i="3"/>
  <c r="E20" i="3"/>
  <c r="G19" i="3"/>
  <c r="E19" i="3"/>
  <c r="G18" i="3"/>
  <c r="E18" i="3"/>
  <c r="G17" i="3"/>
  <c r="E17" i="3"/>
  <c r="G16" i="3"/>
  <c r="E16" i="3"/>
  <c r="G15" i="3"/>
  <c r="E15" i="3"/>
  <c r="F85" i="1"/>
  <c r="F86" i="1" s="1"/>
  <c r="C70" i="1"/>
  <c r="C69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47" i="1" s="1"/>
  <c r="F121" i="1"/>
  <c r="F104" i="1"/>
  <c r="D149" i="1"/>
  <c r="D148" i="1"/>
  <c r="D147" i="1"/>
  <c r="D142" i="1"/>
  <c r="D141" i="1"/>
  <c r="D140" i="1"/>
  <c r="D139" i="1"/>
  <c r="B135" i="1"/>
  <c r="B149" i="1" s="1"/>
  <c r="B134" i="1"/>
  <c r="B148" i="1" s="1"/>
  <c r="B133" i="1"/>
  <c r="B147" i="1" s="1"/>
  <c r="B126" i="1"/>
  <c r="B140" i="1" s="1"/>
  <c r="B127" i="1"/>
  <c r="B141" i="1" s="1"/>
  <c r="B128" i="1"/>
  <c r="B142" i="1" s="1"/>
  <c r="B129" i="1"/>
  <c r="D143" i="1" s="1"/>
  <c r="B143" i="1" s="1"/>
  <c r="B125" i="1"/>
  <c r="B167" i="1"/>
  <c r="B166" i="1"/>
  <c r="B165" i="1"/>
  <c r="B164" i="1"/>
  <c r="B163" i="1"/>
  <c r="B162" i="1"/>
  <c r="B154" i="1"/>
  <c r="B155" i="1"/>
  <c r="B156" i="1"/>
  <c r="B157" i="1"/>
  <c r="B158" i="1"/>
  <c r="B153" i="1"/>
  <c r="F206" i="3" l="1"/>
  <c r="F201" i="3"/>
  <c r="F200" i="3"/>
  <c r="F199" i="3"/>
  <c r="F205" i="3"/>
  <c r="F198" i="3"/>
  <c r="F197" i="3"/>
  <c r="B139" i="1"/>
  <c r="F149" i="1"/>
  <c r="F148" i="1"/>
  <c r="F143" i="1"/>
  <c r="F142" i="1"/>
  <c r="F141" i="1"/>
  <c r="F140" i="1"/>
  <c r="F139" i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28" i="1"/>
  <c r="D28" i="1" s="1"/>
  <c r="C27" i="1"/>
  <c r="D27" i="1" s="1"/>
  <c r="G51" i="1"/>
  <c r="E51" i="1"/>
  <c r="G50" i="1"/>
  <c r="E50" i="1"/>
  <c r="G49" i="1"/>
  <c r="E49" i="1"/>
  <c r="G48" i="1"/>
  <c r="E48" i="1"/>
  <c r="G47" i="1"/>
  <c r="E47" i="1"/>
  <c r="G46" i="1"/>
  <c r="E46" i="1"/>
  <c r="G45" i="1"/>
  <c r="E45" i="1"/>
  <c r="G44" i="1"/>
  <c r="E44" i="1"/>
  <c r="G43" i="1"/>
  <c r="E43" i="1"/>
  <c r="G42" i="1"/>
  <c r="E42" i="1"/>
  <c r="G41" i="1"/>
  <c r="E41" i="1"/>
  <c r="G40" i="1"/>
  <c r="E40" i="1"/>
  <c r="G39" i="1"/>
  <c r="E39" i="1"/>
  <c r="G38" i="1"/>
  <c r="E38" i="1"/>
  <c r="G37" i="1"/>
  <c r="E37" i="1"/>
  <c r="G36" i="1"/>
  <c r="E36" i="1"/>
  <c r="G35" i="1"/>
  <c r="E35" i="1"/>
  <c r="G34" i="1"/>
  <c r="E34" i="1"/>
  <c r="G33" i="1"/>
  <c r="E33" i="1"/>
  <c r="G32" i="1"/>
  <c r="E32" i="1"/>
  <c r="G31" i="1"/>
  <c r="E31" i="1"/>
  <c r="G30" i="1"/>
  <c r="E30" i="1"/>
  <c r="G29" i="1"/>
  <c r="E29" i="1"/>
  <c r="G28" i="1"/>
  <c r="E28" i="1"/>
  <c r="G27" i="1"/>
  <c r="E27" i="1"/>
  <c r="C93" i="1" l="1"/>
  <c r="C89" i="1"/>
  <c r="C88" i="1"/>
  <c r="C92" i="1"/>
  <c r="C91" i="1"/>
  <c r="C90" i="1"/>
  <c r="C94" i="1"/>
  <c r="C95" i="1"/>
  <c r="C96" i="1"/>
  <c r="F35" i="1"/>
  <c r="F47" i="1"/>
  <c r="H46" i="1"/>
  <c r="F45" i="1"/>
  <c r="H43" i="1"/>
  <c r="H29" i="1"/>
  <c r="H31" i="1"/>
  <c r="F40" i="1"/>
  <c r="H51" i="1"/>
  <c r="H39" i="1"/>
  <c r="H27" i="1"/>
  <c r="H32" i="1"/>
  <c r="H36" i="1"/>
  <c r="H44" i="1"/>
  <c r="H45" i="1"/>
  <c r="F28" i="1"/>
  <c r="H48" i="1"/>
  <c r="F38" i="1"/>
  <c r="H38" i="1"/>
  <c r="F33" i="1"/>
  <c r="D52" i="1"/>
  <c r="H50" i="1"/>
  <c r="H28" i="1"/>
  <c r="H47" i="1"/>
  <c r="H37" i="1"/>
  <c r="H41" i="1"/>
  <c r="F50" i="1"/>
  <c r="H35" i="1"/>
  <c r="H40" i="1"/>
  <c r="H30" i="1"/>
  <c r="H33" i="1"/>
  <c r="H34" i="1"/>
  <c r="H49" i="1"/>
  <c r="H42" i="1"/>
  <c r="F31" i="1"/>
  <c r="F43" i="1"/>
  <c r="F36" i="1"/>
  <c r="F48" i="1"/>
  <c r="F29" i="1"/>
  <c r="F41" i="1"/>
  <c r="F34" i="1"/>
  <c r="F46" i="1"/>
  <c r="F27" i="1"/>
  <c r="F39" i="1"/>
  <c r="F51" i="1"/>
  <c r="F32" i="1"/>
  <c r="F44" i="1"/>
  <c r="F37" i="1"/>
  <c r="F49" i="1"/>
  <c r="F30" i="1"/>
  <c r="F42" i="1"/>
  <c r="H52" i="1" l="1"/>
  <c r="F52" i="1"/>
  <c r="C23" i="3" l="1"/>
  <c r="C25" i="3"/>
  <c r="D25" i="3"/>
  <c r="H25" i="3"/>
  <c r="C33" i="3"/>
  <c r="D33" i="3"/>
  <c r="C34" i="3"/>
  <c r="D34" i="3"/>
  <c r="H34" i="3"/>
  <c r="C27" i="3"/>
  <c r="D27" i="3"/>
  <c r="C21" i="3"/>
  <c r="D21" i="3"/>
  <c r="H21" i="3"/>
  <c r="C16" i="3"/>
  <c r="D16" i="3"/>
  <c r="H16" i="3"/>
  <c r="F16" i="3"/>
  <c r="C29" i="3"/>
  <c r="D29" i="3"/>
  <c r="C39" i="3"/>
  <c r="D39" i="3"/>
  <c r="C36" i="3"/>
  <c r="D36" i="3"/>
  <c r="F36" i="3"/>
  <c r="F25" i="3"/>
  <c r="H36" i="3"/>
  <c r="F27" i="3"/>
  <c r="C28" i="3"/>
  <c r="D28" i="3"/>
  <c r="H28" i="3"/>
  <c r="C31" i="3"/>
  <c r="D31" i="3"/>
  <c r="H27" i="3"/>
  <c r="F29" i="3"/>
  <c r="F39" i="3"/>
  <c r="C17" i="3"/>
  <c r="D17" i="3"/>
  <c r="H17" i="3"/>
  <c r="F17" i="3"/>
  <c r="C22" i="3"/>
  <c r="D22" i="3"/>
  <c r="F22" i="3"/>
  <c r="C19" i="3"/>
  <c r="D19" i="3"/>
  <c r="F19" i="3"/>
  <c r="C15" i="3"/>
  <c r="D15" i="3"/>
  <c r="F15" i="3"/>
  <c r="F40" i="3"/>
  <c r="D40" i="3"/>
  <c r="H15" i="3"/>
  <c r="C37" i="3"/>
  <c r="D37" i="3"/>
  <c r="H37" i="3"/>
  <c r="C32" i="3"/>
  <c r="D32" i="3"/>
  <c r="F32" i="3"/>
  <c r="H32" i="3"/>
  <c r="F33" i="3"/>
  <c r="H33" i="3"/>
  <c r="C18" i="3"/>
  <c r="D18" i="3"/>
  <c r="H18" i="3"/>
  <c r="F34" i="3"/>
  <c r="C24" i="3"/>
  <c r="D24" i="3"/>
  <c r="C30" i="3"/>
  <c r="H39" i="3"/>
  <c r="C35" i="3"/>
  <c r="D35" i="3"/>
  <c r="H29" i="3"/>
  <c r="C38" i="3"/>
  <c r="D38" i="3"/>
  <c r="C20" i="3"/>
  <c r="D20" i="3"/>
  <c r="F28" i="3"/>
  <c r="C26" i="3"/>
  <c r="D26" i="3"/>
  <c r="H31" i="3"/>
  <c r="F26" i="3"/>
  <c r="H19" i="3"/>
  <c r="F21" i="3"/>
  <c r="H40" i="3"/>
  <c r="D30" i="3"/>
  <c r="H30" i="3"/>
  <c r="F24" i="3"/>
  <c r="H22" i="3"/>
  <c r="F20" i="3"/>
  <c r="F31" i="3"/>
  <c r="F37" i="3"/>
  <c r="H35" i="3"/>
  <c r="D23" i="3"/>
  <c r="H23" i="3"/>
  <c r="F23" i="3"/>
  <c r="F18" i="3"/>
  <c r="H24" i="3"/>
  <c r="F30" i="3"/>
  <c r="H20" i="3"/>
  <c r="H26" i="3"/>
  <c r="F38" i="3"/>
  <c r="H38" i="3"/>
  <c r="F3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tc={76D5B4A2-3352-4B67-BFF5-7AE5B87A4A52}</author>
    <author>tc={34B82031-E8FF-4CDE-B8E1-5B643BACF9E7}</author>
    <author>tc={F545A904-03E0-4DF1-8EE4-C955F34CD4BD}</author>
    <author>tc={7C610B4D-C5B0-4714-912A-5454C4B68567}</author>
    <author>tc={EEE0467E-14C4-4BB6-BA0C-4BF721941D89}</author>
    <author>tc={940AF193-74C7-4543-BFA2-54076A81C2EE}</author>
    <author>tc={BD6548A6-EE9F-4054-88E6-20D9F510C312}</author>
    <author>tc={4188D415-0D34-4EFE-BE1E-8916CA22B766}</author>
    <author>tc={BC1505FF-47C6-428C-9DDF-17BDE2F412B7}</author>
    <author>tc={896C5293-4370-4E7E-8600-BBA8F63B6DAB}</author>
    <author>tc={3E344E30-F796-43C3-9E8F-F5BBF7531C52}</author>
    <author>tc={81278FC7-C5D9-4232-9424-88BA1808E01D}</author>
    <author>tc={CFFB6DAF-196B-49C3-9951-E4F78B1E9E9D}</author>
  </authors>
  <commentList>
    <comment ref="H2" authorId="0" shapeId="0" xr:uid="{76D5B4A2-3352-4B67-BFF5-7AE5B87A4A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dato viene del elemento desde el módulo de especificaciones técnicas.</t>
      </text>
    </comment>
    <comment ref="P2" authorId="1" shapeId="0" xr:uid="{34B82031-E8FF-4CDE-B8E1-5B643BACF9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dato viene del elemento desde el módulo de especificaciones técnicas.</t>
      </text>
    </comment>
    <comment ref="Y2" authorId="2" shapeId="0" xr:uid="{F545A904-03E0-4DF1-8EE4-C955F34CD4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dato viene del elemento desde el módulo de especificaciones técnicas.</t>
      </text>
    </comment>
    <comment ref="H5" authorId="3" shapeId="0" xr:uid="{7C610B4D-C5B0-4714-912A-5454C4B685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dato viene del elemento desde el módulo de especificaciones técnicas.</t>
      </text>
    </comment>
    <comment ref="P5" authorId="4" shapeId="0" xr:uid="{EEE0467E-14C4-4BB6-BA0C-4BF721941D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dato viene del elemento desde el módulo de especificaciones técnicas.</t>
      </text>
    </comment>
    <comment ref="Y5" authorId="5" shapeId="0" xr:uid="{940AF193-74C7-4543-BFA2-54076A81C2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dato viene del elemento desde el módulo de especificaciones técnicas.</t>
      </text>
    </comment>
    <comment ref="AG5" authorId="6" shapeId="0" xr:uid="{BD6548A6-EE9F-4054-88E6-20D9F510C3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dato viene del elemento desde el módulo de especificaciones técnicas.</t>
      </text>
    </comment>
    <comment ref="C6" authorId="7" shapeId="0" xr:uid="{4188D415-0D34-4EFE-BE1E-8916CA22B76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Ver tabla, la idea es escoger el grado y traer el dato de la tabla.</t>
      </text>
    </comment>
    <comment ref="U13" authorId="8" shapeId="0" xr:uid="{BC1505FF-47C6-428C-9DDF-17BDE2F412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éstos datos vienen del módulo de especificaciones técnicas</t>
      </text>
    </comment>
    <comment ref="L23" authorId="9" shapeId="0" xr:uid="{896C5293-4370-4E7E-8600-BBA8F63B6D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Selector, sólo puede elegir uno.</t>
      </text>
    </comment>
    <comment ref="L24" authorId="10" shapeId="0" xr:uid="{3E344E30-F796-43C3-9E8F-F5BBF7531C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Selector, sólo puede elegir uno.</t>
      </text>
    </comment>
    <comment ref="W28" authorId="11" shapeId="0" xr:uid="{81278FC7-C5D9-4232-9424-88BA1808E0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Ver tabla de aislamientos
Respuesta:
    Puede ser un selector, sólo puede escoger una opción , las tablas deben ser editables, se deben agregar o eliminar datos</t>
      </text>
    </comment>
    <comment ref="I33" authorId="12" shapeId="0" xr:uid="{CFFB6DAF-196B-49C3-9951-E4F78B1E9E9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M0 0,75,	M0 0,85,	M1,	M4,	AYFA-N,	AYFA-NE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tc={94CFC795-78E8-4335-A7FC-51F3BE976355}</author>
    <author>tc={5689C9E3-6A82-48D8-83F3-9CCF6DDC13E7}</author>
  </authors>
  <commentList>
    <comment ref="B3" authorId="0" shapeId="0" xr:uid="{94CFC795-78E8-4335-A7FC-51F3BE9763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 tabla debe ser administrada ya que se pueden hacer nuevos registros en el tiempo de nuevos valores. La tabla puede crecer.
Respuesta:
    Tabla no visibles por los usuarios</t>
      </text>
    </comment>
    <comment ref="K13" authorId="1" shapeId="0" xr:uid="{5689C9E3-6A82-48D8-83F3-9CCF6DDC13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Estas tablas deben ser administradas ya que pueden ser editadas o puede que se incluya una adicional.
Respuesta:
    Tablas no visibles por lo usuarios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tc={6DB7AFB6-5B79-4E08-8E11-74A3387778DD}</author>
    <author>tc={4A7EB003-0E21-46A9-A0FA-7431C3E5D95F}</author>
    <author>tc={A7E28E8F-1C54-42B1-ABCE-ABE23D50129A}</author>
    <author>tc={180AF81A-96F9-4B22-9090-153F4E7214E1}</author>
    <author>tc={86828C33-D0C2-43F9-9FAD-9A0EF0D59DD3}</author>
    <author>tc={8A1C39EF-093E-448B-B541-BB7ABEA298D2}</author>
    <author>tc={36B8FE36-7127-4052-AE8A-50F06660C6CB}</author>
    <author>tc={32BD8620-199E-49D0-91F7-A527BC8C8607}</author>
    <author>tc={1FC11DD1-39BA-4925-8D89-4D168B06C59A}</author>
    <author>tc={06E7FD0F-0153-4658-9F2B-72D05557DB8E}</author>
    <author>tc={DD86213C-D1D4-427D-BD47-4FC3F730AC64}</author>
    <author>tc={99053B4C-72CE-48A0-81D2-99FC345A675D}</author>
    <author>tc={A8B7299C-76BD-447B-B59E-31AD3C444A38}</author>
    <author>tc={F9AD6EDC-FADD-4A14-965C-CE54578C5D30}</author>
    <author>tc={EAE89883-F723-4452-907D-7B935CB08636}</author>
    <author>tc={72707E89-E847-4F8E-BC06-0BFC83CA3811}</author>
    <author>tc={EB2DB5E4-8F3B-4B4D-BF70-CA255A730F9B}</author>
    <author>tc={F5345D0D-B933-418C-8525-AEAEC862DEC8}</author>
    <author>tc={DCE3A640-F8FD-4401-AF36-8414D79FB287}</author>
  </authors>
  <commentList>
    <comment ref="C7" authorId="0" shapeId="0" xr:uid="{6DB7AFB6-5B79-4E08-8E11-74A3387778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dato se llenó en el módulo de especificaciones técnicas, la idea es traerlo y pegarlo</t>
      </text>
    </comment>
    <comment ref="C8" authorId="1" shapeId="0" xr:uid="{4A7EB003-0E21-46A9-A0FA-7431C3E5D95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dato se llenó en el módulo de especificaciones técnicas, la idea es traerlo y pegarlo</t>
      </text>
    </comment>
    <comment ref="C9" authorId="2" shapeId="0" xr:uid="{A7E28E8F-1C54-42B1-ABCE-ABE23D5012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dato se llenó en el módulo de especificaciones técnicas, la idea es traerlo y pegarlo</t>
      </text>
    </comment>
    <comment ref="C10" authorId="3" shapeId="0" xr:uid="{180AF81A-96F9-4B22-9090-153F4E7214E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dato se llenó en el módulo de especificaciones técnicas, la idea es traerlo y pegarlo</t>
      </text>
    </comment>
    <comment ref="C11" authorId="4" shapeId="0" xr:uid="{86828C33-D0C2-43F9-9FAD-9A0EF0D59DD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Por el momento es un valor no visible por el usuario, luego será usado en otra fórmula</t>
      </text>
    </comment>
    <comment ref="B14" authorId="5" shapeId="0" xr:uid="{8A1C39EF-093E-448B-B541-BB7ABEA298D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 tabla debe ser administrada ya que se pueden hacer nuevos registros en el tiempo de nuevos valores. La tabla puede crecer.
Respuesta:
    Tabla no visibles por los usuarios</t>
      </text>
    </comment>
    <comment ref="K25" authorId="6" shapeId="0" xr:uid="{36B8FE36-7127-4052-AE8A-50F06660C6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Estas tablas deben ser administradas ya que pueden ser editadas o puede que se incluya una adicional.
Respuesta:
    Tablas no visibles por lo usuarios</t>
      </text>
    </comment>
    <comment ref="C55" authorId="7" shapeId="0" xr:uid="{32BD8620-199E-49D0-91F7-A527BC8C860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dato se llenó en el módulo de especificaciones técnicas, la idea es traerlo y pegarlo</t>
      </text>
    </comment>
    <comment ref="C56" authorId="8" shapeId="0" xr:uid="{1FC11DD1-39BA-4925-8D89-4D168B06C5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dato se llenó en el módulo de especificaciones técnicas, la idea es traerlo y pegarlo</t>
      </text>
    </comment>
    <comment ref="C57" authorId="9" shapeId="0" xr:uid="{06E7FD0F-0153-4658-9F2B-72D05557DB8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dato se llenó en el módulo de especificaciones técnicas, la idea es traerlo y pegarlo</t>
      </text>
    </comment>
    <comment ref="C58" authorId="10" shapeId="0" xr:uid="{DD86213C-D1D4-427D-BD47-4FC3F730AC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dato se llenó en el módulo de especificaciones técnicas, la idea es traerlo y pegarlo</t>
      </text>
    </comment>
    <comment ref="C59" authorId="11" shapeId="0" xr:uid="{99053B4C-72CE-48A0-81D2-99FC345A67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dato se llenó en el módulo de especificaciones técnicas, la idea es traerlo y pegarlo</t>
      </text>
    </comment>
    <comment ref="C65" authorId="12" shapeId="0" xr:uid="{A8B7299C-76BD-447B-B59E-31AD3C444A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Dato visible para el usuario</t>
      </text>
    </comment>
    <comment ref="C66" authorId="13" shapeId="0" xr:uid="{F9AD6EDC-FADD-4A14-965C-CE54578C5D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usuario puede elegir Aluminio o Cobre
Respuesta:
    Sólo uno de los dos</t>
      </text>
    </comment>
    <comment ref="C67" authorId="14" shapeId="0" xr:uid="{EAE89883-F723-4452-907D-7B935CB0863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usuario sólo debe elegir uno de los tres, puede ser un selector</t>
      </text>
    </comment>
    <comment ref="F76" authorId="15" shapeId="0" xr:uid="{72707E89-E847-4F8E-BC06-0BFC83CA38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Número decimal</t>
      </text>
    </comment>
    <comment ref="C79" authorId="16" shapeId="0" xr:uid="{EB2DB5E4-8F3B-4B4D-BF70-CA255A730F9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Número decimal</t>
      </text>
    </comment>
    <comment ref="F79" authorId="17" shapeId="0" xr:uid="{F5345D0D-B933-418C-8525-AEAEC862DE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Número decimal</t>
      </text>
    </comment>
    <comment ref="F80" authorId="18" shapeId="0" xr:uid="{DCE3A640-F8FD-4401-AF36-8414D79FB28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Número decimal</t>
      </text>
    </comment>
  </commentList>
</comments>
</file>

<file path=xl/sharedStrings.xml><?xml version="1.0" encoding="utf-8"?>
<sst xmlns="http://schemas.openxmlformats.org/spreadsheetml/2006/main" count="343" uniqueCount="169">
  <si>
    <t>Altitud (msnm)</t>
  </si>
  <si>
    <t>Frecuencia (Hz)</t>
  </si>
  <si>
    <t>Potencia 2 (kVA)</t>
  </si>
  <si>
    <t>Factor k</t>
  </si>
  <si>
    <t>h</t>
  </si>
  <si>
    <t>Ih/I</t>
  </si>
  <si>
    <t>(Ih/I)^2</t>
  </si>
  <si>
    <t>h^2</t>
  </si>
  <si>
    <t>(Ih/I)^2*h^2</t>
  </si>
  <si>
    <t>h^0,8</t>
  </si>
  <si>
    <t>(Ih/I)^2*h^0,8</t>
  </si>
  <si>
    <t>Plantilla para transformadores Convencionales Monofásicos</t>
  </si>
  <si>
    <t>Potencia (kVA)</t>
  </si>
  <si>
    <t>Voltaje Primario [V]</t>
  </si>
  <si>
    <t>Voltaje Secundario [V]</t>
  </si>
  <si>
    <t>Posición nominal TAP</t>
  </si>
  <si>
    <t>% derivación TAP</t>
  </si>
  <si>
    <t>Posiciones del cambiador</t>
  </si>
  <si>
    <t>Datos de entrada</t>
  </si>
  <si>
    <t>Devanado Secundario</t>
  </si>
  <si>
    <t>Aluminio o Cobre</t>
  </si>
  <si>
    <t>Tipo de conductor</t>
  </si>
  <si>
    <t xml:space="preserve">Material Devanado </t>
  </si>
  <si>
    <t>Área</t>
  </si>
  <si>
    <t>Altura (msnm)</t>
  </si>
  <si>
    <t>BIL (kV) (Mayor)</t>
  </si>
  <si>
    <t>Fin video 1.</t>
  </si>
  <si>
    <t>Alambre, Alambre rectángular, Alambre rectángular + Alambre, fleje</t>
  </si>
  <si>
    <t>Is (A)</t>
  </si>
  <si>
    <t>Tabla de Flejes Cobre</t>
  </si>
  <si>
    <t>105*0,22</t>
  </si>
  <si>
    <t>130*0,32</t>
  </si>
  <si>
    <t>150*0,5</t>
  </si>
  <si>
    <t>170*0,*9</t>
  </si>
  <si>
    <t>160*0,65</t>
  </si>
  <si>
    <t>380*2</t>
  </si>
  <si>
    <t>Alto</t>
  </si>
  <si>
    <t>Ancho</t>
  </si>
  <si>
    <t>Tabla de Flejes Aluminio</t>
  </si>
  <si>
    <t>105*0,36</t>
  </si>
  <si>
    <t>130*0,53</t>
  </si>
  <si>
    <t>150*0,25</t>
  </si>
  <si>
    <t>210*0,6</t>
  </si>
  <si>
    <t>Tabla de alambres aluminio o cobre</t>
  </si>
  <si>
    <t>Diamétro Aislado</t>
  </si>
  <si>
    <t>Diámetro sin aislamiento</t>
  </si>
  <si>
    <t>Aislamiento</t>
  </si>
  <si>
    <t>4*3</t>
  </si>
  <si>
    <t>6*3</t>
  </si>
  <si>
    <t>8*4</t>
  </si>
  <si>
    <t>10*4</t>
  </si>
  <si>
    <t>Tabla de alambres rectángulares Aluminio</t>
  </si>
  <si>
    <t>6*4</t>
  </si>
  <si>
    <t>Alto sin aislamiento</t>
  </si>
  <si>
    <t>Ancho sin aislamiento</t>
  </si>
  <si>
    <t>Tabla de alambres rectángulares Cobre</t>
  </si>
  <si>
    <t>Tabla de alambres rectángulares + alambres Aluminio</t>
  </si>
  <si>
    <t>4*3 + #9</t>
  </si>
  <si>
    <t>6*3 +#9</t>
  </si>
  <si>
    <t>6*4 + #8</t>
  </si>
  <si>
    <t>8*4 + #8</t>
  </si>
  <si>
    <t>10*4 + #8</t>
  </si>
  <si>
    <t>Tabla de alambres rectángulares + alambres Cobre</t>
  </si>
  <si>
    <t>8*4 +#8</t>
  </si>
  <si>
    <t>10*4 +#8</t>
  </si>
  <si>
    <t>Conductor</t>
  </si>
  <si>
    <t>Ancho Conductor Aislado 1</t>
  </si>
  <si>
    <t>Alto Conductor Aislado 1</t>
  </si>
  <si>
    <t>Conductores Axiales 1</t>
  </si>
  <si>
    <t>Conductores Radiales 1</t>
  </si>
  <si>
    <t>Ancho Conductor Aislado 2</t>
  </si>
  <si>
    <t>Alto Conductor Aislado 2</t>
  </si>
  <si>
    <t>Conductores Axiales 2</t>
  </si>
  <si>
    <t>Conductores Radiales 2</t>
  </si>
  <si>
    <t>Alambre</t>
  </si>
  <si>
    <t>Alambre rectangular</t>
  </si>
  <si>
    <t>Fleje</t>
  </si>
  <si>
    <t xml:space="preserve">Densidad (A/mm^2) </t>
  </si>
  <si>
    <t>Fin video 2.</t>
  </si>
  <si>
    <t>Cuña en redondo (mm)</t>
  </si>
  <si>
    <t>#Papeles en formaleta (0,25 mm)</t>
  </si>
  <si>
    <t>Espesor (mm)</t>
  </si>
  <si>
    <t>Aislamiento Secundario 1 (mm)</t>
  </si>
  <si>
    <t>Aislamiento Secundario 2 (mm)</t>
  </si>
  <si>
    <t>Aislamiento Secundario 3 (mm)</t>
  </si>
  <si>
    <t>Grueso</t>
  </si>
  <si>
    <t>Número de capas</t>
  </si>
  <si>
    <t>Número de espiras por capa</t>
  </si>
  <si>
    <t>Fp</t>
  </si>
  <si>
    <t>Gradiente (°k)</t>
  </si>
  <si>
    <t>Lm (cm)</t>
  </si>
  <si>
    <t>Largo terminales (mm)</t>
  </si>
  <si>
    <t>M0 0,75 - M0 0,85, M1, M4, AYFA-N, AYFA-NE</t>
  </si>
  <si>
    <t>Espesor lado BT (cm)</t>
  </si>
  <si>
    <t>Espesor frontal BT (cm)</t>
  </si>
  <si>
    <t>R BT (mohms)</t>
  </si>
  <si>
    <t>Peso fibra (kg)</t>
  </si>
  <si>
    <t>Peso Núcleo (kg)</t>
  </si>
  <si>
    <t>Bobinado</t>
  </si>
  <si>
    <t>Espesor Refrigeración mm</t>
  </si>
  <si>
    <t>Número de refrigeraciones</t>
  </si>
  <si>
    <t>Peso papel formaleta (kg)</t>
  </si>
  <si>
    <t>Peso cuña formaleta</t>
  </si>
  <si>
    <t>Peso aislamiento 1 (kg)</t>
  </si>
  <si>
    <t>Peso aislamiento 2 (kg)</t>
  </si>
  <si>
    <t>Peso aislamiento 3 (kg)</t>
  </si>
  <si>
    <t>Peso cuña refrigeración (kg)</t>
  </si>
  <si>
    <t>Inducción (T)</t>
  </si>
  <si>
    <t>Peso conductor 1</t>
  </si>
  <si>
    <t>Peso conductor 2</t>
  </si>
  <si>
    <t>T</t>
  </si>
  <si>
    <t>M0 0,75</t>
  </si>
  <si>
    <t>M0 0,85</t>
  </si>
  <si>
    <t>M1</t>
  </si>
  <si>
    <t>M4</t>
  </si>
  <si>
    <t>AYFA-N</t>
  </si>
  <si>
    <t>AYFA-NE</t>
  </si>
  <si>
    <t>Tabla 1.</t>
  </si>
  <si>
    <t>Pérdidas en vacío W0</t>
  </si>
  <si>
    <t>Corriente Io</t>
  </si>
  <si>
    <t>Perdidas en carga Wcc</t>
  </si>
  <si>
    <t>Uz (%)</t>
  </si>
  <si>
    <t>Grado chapa magnética</t>
  </si>
  <si>
    <t>Formaleta</t>
  </si>
  <si>
    <t>Impedancia (%)</t>
  </si>
  <si>
    <t>Perdidas en carga (w)</t>
  </si>
  <si>
    <t>Perdidas en vacío (w)</t>
  </si>
  <si>
    <t>Eficiencia DOE (%)</t>
  </si>
  <si>
    <t>Eficiencia NEMA (%)</t>
  </si>
  <si>
    <t>Eficiencia NTC (%)</t>
  </si>
  <si>
    <t>Corriente de vacío (%)</t>
  </si>
  <si>
    <t>Corriente Secundaria (A)</t>
  </si>
  <si>
    <t>Material del devanado</t>
  </si>
  <si>
    <t>Aluminio o cobre</t>
  </si>
  <si>
    <t>Datos no visibles por el usuario</t>
  </si>
  <si>
    <t>Datos que pueden ser visibles, pero deben estar ocultos, la idea es que se puedan desplegar ya que son datos que generalmente no se emplean</t>
  </si>
  <si>
    <t>Aislamiento (0,25 mm)</t>
  </si>
  <si>
    <t>Aislamiento 1. (mm)</t>
  </si>
  <si>
    <t>Aislamiento 2. (mm)</t>
  </si>
  <si>
    <t>Aislamiento 3. (mm)</t>
  </si>
  <si>
    <t>Tipo</t>
  </si>
  <si>
    <t>Espesor</t>
  </si>
  <si>
    <t>Clase E</t>
  </si>
  <si>
    <t>Clase H</t>
  </si>
  <si>
    <t>Clase F</t>
  </si>
  <si>
    <t>Tabla Aislamientos</t>
  </si>
  <si>
    <t>Refrigeraciones</t>
  </si>
  <si>
    <t>Espesor Refrigeración (mm)</t>
  </si>
  <si>
    <t>Ancho Conductor Aislado 1.</t>
  </si>
  <si>
    <t>Alto Conductor Aislado 1.</t>
  </si>
  <si>
    <t>Ancho Conductor Aislado 2.</t>
  </si>
  <si>
    <t>Alto Conductor Aislado 2.</t>
  </si>
  <si>
    <t>Conductores Axiales 1.</t>
  </si>
  <si>
    <t>Conductores Radiales 1.</t>
  </si>
  <si>
    <t>Conductores Axiales 2.</t>
  </si>
  <si>
    <t>Conductores Radiales 2.</t>
  </si>
  <si>
    <t># refrigeraciones</t>
  </si>
  <si>
    <t>Número de espiras/ capa</t>
  </si>
  <si>
    <t>Núcleo y Espiras BT</t>
  </si>
  <si>
    <t>Factor apilamiento</t>
  </si>
  <si>
    <t>Grueso un bloque</t>
  </si>
  <si>
    <t>Resistencia BT (mohms)</t>
  </si>
  <si>
    <t>Resistencia</t>
  </si>
  <si>
    <t>Pesos</t>
  </si>
  <si>
    <t>Peso cuña formaleta (kg)</t>
  </si>
  <si>
    <t>Peso conductor 1. (kg)</t>
  </si>
  <si>
    <t>Peso conductor 2. (kg)</t>
  </si>
  <si>
    <t>Aislamiento intermedio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</si>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</sst>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00"/>
    <numFmt numFmtId="166" formatCode="0.00000"/>
    <numFmt numFmtId="167" formatCode="0.0"/>
  </numFmts>
  <fonts count="12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sz val="9"/>
      <color indexed="81"/>
      <name val="Tahoma"/>
      <charset val="1"/>
    </font>
    <font>
      <sz val="9"/>
      <color indexed="81"/>
      <name val="Tahoma"/>
      <family val="2"/>
    </font>
    <font>
      <sz val="11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7030A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3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0" borderId="0" xfId="0" applyFont="1"/>
    <xf numFmtId="0" fontId="0" fillId="2" borderId="0" xfId="0" applyFill="1"/>
    <xf numFmtId="0" fontId="5" fillId="0" borderId="0" xfId="0" applyFont="1"/>
    <xf numFmtId="0" fontId="0" fillId="0" borderId="3" xfId="0" applyBorder="1"/>
    <xf numFmtId="0" fontId="0" fillId="0" borderId="4" xfId="0" applyBorder="1"/>
    <xf numFmtId="0" fontId="4" fillId="0" borderId="5" xfId="0" applyFont="1" applyBorder="1"/>
    <xf numFmtId="0" fontId="0" fillId="0" borderId="6" xfId="0" applyBorder="1"/>
    <xf numFmtId="0" fontId="0" fillId="0" borderId="5" xfId="0" applyBorder="1"/>
    <xf numFmtId="0" fontId="3" fillId="0" borderId="8" xfId="0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0" borderId="5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5" fillId="0" borderId="2" xfId="0" applyFont="1" applyBorder="1"/>
    <xf numFmtId="0" fontId="0" fillId="0" borderId="5" xfId="0" applyBorder="1" applyAlignment="1">
      <alignment horizontal="center"/>
    </xf>
    <xf numFmtId="0" fontId="0" fillId="0" borderId="24" xfId="0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left"/>
    </xf>
    <xf numFmtId="0" fontId="1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5" xfId="0" applyFill="1" applyBorder="1"/>
    <xf numFmtId="0" fontId="2" fillId="0" borderId="1" xfId="0" applyFont="1" applyBorder="1"/>
    <xf numFmtId="0" fontId="2" fillId="3" borderId="1" xfId="0" applyFont="1" applyFill="1" applyBorder="1"/>
    <xf numFmtId="0" fontId="3" fillId="0" borderId="1" xfId="0" applyFont="1" applyBorder="1"/>
    <xf numFmtId="0" fontId="0" fillId="0" borderId="1" xfId="0" applyBorder="1"/>
    <xf numFmtId="0" fontId="3" fillId="0" borderId="27" xfId="0" applyFont="1" applyBorder="1"/>
    <xf numFmtId="2" fontId="0" fillId="0" borderId="0" xfId="0" applyNumberFormat="1"/>
    <xf numFmtId="0" fontId="3" fillId="3" borderId="1" xfId="0" applyFont="1" applyFill="1" applyBorder="1"/>
    <xf numFmtId="2" fontId="0" fillId="3" borderId="1" xfId="0" applyNumberFormat="1" applyFill="1" applyBorder="1"/>
    <xf numFmtId="0" fontId="0" fillId="3" borderId="1" xfId="0" applyFill="1" applyBorder="1"/>
    <xf numFmtId="167" fontId="2" fillId="0" borderId="1" xfId="0" applyNumberFormat="1" applyFont="1" applyBorder="1"/>
    <xf numFmtId="2" fontId="0" fillId="0" borderId="1" xfId="0" applyNumberFormat="1" applyBorder="1"/>
    <xf numFmtId="167" fontId="0" fillId="0" borderId="1" xfId="0" applyNumberForma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0" fillId="4" borderId="0" xfId="0" applyFill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2" fillId="0" borderId="0" xfId="0" quotePrefix="1" applyFont="1"/>
    <xf numFmtId="0" fontId="3" fillId="0" borderId="6" xfId="0" applyFon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5" fontId="3" fillId="0" borderId="6" xfId="0" applyNumberFormat="1" applyFont="1" applyBorder="1" applyAlignment="1">
      <alignment horizontal="center"/>
    </xf>
    <xf numFmtId="0" fontId="4" fillId="0" borderId="26" xfId="0" applyFont="1" applyBorder="1"/>
    <xf numFmtId="0" fontId="2" fillId="0" borderId="28" xfId="0" applyFont="1" applyBorder="1"/>
    <xf numFmtId="0" fontId="4" fillId="0" borderId="7" xfId="0" applyFont="1" applyBorder="1"/>
    <xf numFmtId="0" fontId="3" fillId="0" borderId="7" xfId="0" applyFont="1" applyBorder="1"/>
    <xf numFmtId="0" fontId="3" fillId="0" borderId="14" xfId="0" applyFont="1" applyBorder="1"/>
    <xf numFmtId="0" fontId="3" fillId="0" borderId="29" xfId="0" applyFont="1" applyBorder="1"/>
    <xf numFmtId="0" fontId="1" fillId="0" borderId="6" xfId="0" applyFont="1" applyBorder="1" applyAlignment="1">
      <alignment horizontal="left"/>
    </xf>
    <xf numFmtId="0" fontId="2" fillId="0" borderId="8" xfId="0" applyFont="1" applyBorder="1"/>
    <xf numFmtId="0" fontId="3" fillId="3" borderId="7" xfId="0" applyFont="1" applyFill="1" applyBorder="1"/>
    <xf numFmtId="0" fontId="2" fillId="3" borderId="8" xfId="0" applyFont="1" applyFill="1" applyBorder="1"/>
    <xf numFmtId="167" fontId="3" fillId="0" borderId="8" xfId="0" applyNumberFormat="1" applyFont="1" applyBorder="1"/>
    <xf numFmtId="0" fontId="2" fillId="0" borderId="8" xfId="0" applyFont="1" applyBorder="1" applyAlignment="1">
      <alignment horizontal="right"/>
    </xf>
    <xf numFmtId="1" fontId="2" fillId="0" borderId="8" xfId="0" applyNumberFormat="1" applyFont="1" applyBorder="1"/>
    <xf numFmtId="2" fontId="2" fillId="3" borderId="8" xfId="0" applyNumberFormat="1" applyFont="1" applyFill="1" applyBorder="1"/>
    <xf numFmtId="167" fontId="2" fillId="0" borderId="8" xfId="0" applyNumberFormat="1" applyFont="1" applyBorder="1"/>
    <xf numFmtId="2" fontId="0" fillId="0" borderId="8" xfId="0" applyNumberFormat="1" applyBorder="1"/>
    <xf numFmtId="0" fontId="0" fillId="0" borderId="8" xfId="0" applyBorder="1"/>
    <xf numFmtId="0" fontId="0" fillId="3" borderId="8" xfId="0" applyFill="1" applyBorder="1"/>
    <xf numFmtId="0" fontId="3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27" xfId="0" applyFont="1" applyBorder="1" applyAlignment="1">
      <alignment horizontal="left"/>
    </xf>
    <xf numFmtId="0" fontId="3" fillId="0" borderId="2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ill="1"/>
    <xf numFmtId="0" fontId="0" fillId="0" borderId="0" xfId="0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/>
    <xf numFmtId="0" fontId="0" fillId="0" borderId="0" xfId="0" applyBorder="1" applyAlignment="1"/>
    <xf numFmtId="0" fontId="0" fillId="0" borderId="0" xfId="0" applyBorder="1"/>
    <xf numFmtId="0" fontId="0" fillId="0" borderId="0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9" fillId="0" borderId="0" xfId="0" applyFont="1"/>
    <xf numFmtId="0" fontId="2" fillId="0" borderId="31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4" fillId="4" borderId="1" xfId="0" applyFont="1" applyFill="1" applyBorder="1"/>
    <xf numFmtId="0" fontId="3" fillId="4" borderId="1" xfId="0" applyFont="1" applyFill="1" applyBorder="1"/>
    <xf numFmtId="0" fontId="2" fillId="4" borderId="31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0" fillId="0" borderId="0" xfId="0" applyFont="1"/>
    <xf numFmtId="0" fontId="0" fillId="0" borderId="1" xfId="0" applyBorder="1" applyAlignment="1">
      <alignment horizontal="left"/>
    </xf>
    <xf numFmtId="0" fontId="0" fillId="0" borderId="1" xfId="0" applyBorder="1" applyAlignment="1"/>
    <xf numFmtId="0" fontId="0" fillId="0" borderId="1" xfId="0" applyFont="1" applyBorder="1" applyAlignment="1">
      <alignment horizontal="left"/>
    </xf>
    <xf numFmtId="0" fontId="0" fillId="5" borderId="1" xfId="0" applyFont="1" applyFill="1" applyBorder="1" applyAlignment="1">
      <alignment horizontal="left"/>
    </xf>
    <xf numFmtId="0" fontId="0" fillId="5" borderId="0" xfId="0" applyFont="1" applyFill="1" applyBorder="1" applyAlignment="1"/>
    <xf numFmtId="0" fontId="0" fillId="0" borderId="0" xfId="0" applyFont="1" applyFill="1" applyBorder="1" applyAlignment="1"/>
    <xf numFmtId="2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0" borderId="0" xfId="0" applyAlignment="1"/>
    <xf numFmtId="0" fontId="11" fillId="0" borderId="1" xfId="0" applyFont="1" applyBorder="1" applyAlignment="1">
      <alignment horizontal="center"/>
    </xf>
    <xf numFmtId="0" fontId="11" fillId="0" borderId="31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11" fillId="0" borderId="0" xfId="0" applyFont="1" applyBorder="1" applyAlignment="1"/>
    <xf numFmtId="0" fontId="0" fillId="0" borderId="31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0" fontId="0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 applyBorder="1" applyAlignment="1"/>
    <xf numFmtId="0" fontId="2" fillId="0" borderId="0" xfId="0" applyFont="1" applyFill="1" applyBorder="1" applyAlignment="1"/>
    <xf numFmtId="0" fontId="2" fillId="0" borderId="18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2" fillId="0" borderId="31" xfId="0" applyFont="1" applyFill="1" applyBorder="1" applyAlignment="1">
      <alignment horizontal="center"/>
    </xf>
    <xf numFmtId="0" fontId="3" fillId="0" borderId="3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703791</xdr:colOff>
      <xdr:row>64</xdr:row>
      <xdr:rowOff>111124</xdr:rowOff>
    </xdr:from>
    <xdr:to>
      <xdr:col>10</xdr:col>
      <xdr:colOff>195791</xdr:colOff>
      <xdr:row>65</xdr:row>
      <xdr:rowOff>178857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4A952AF1-7E61-927F-9D56-33F775877DB1}"/>
            </a:ext>
          </a:extLst>
        </xdr:cNvPr>
        <xdr:cNvSpPr/>
      </xdr:nvSpPr>
      <xdr:spPr>
        <a:xfrm>
          <a:off x="10355791" y="11689291"/>
          <a:ext cx="254000" cy="25823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523875</xdr:colOff>
      <xdr:row>66</xdr:row>
      <xdr:rowOff>26458</xdr:rowOff>
    </xdr:from>
    <xdr:to>
      <xdr:col>11</xdr:col>
      <xdr:colOff>232833</xdr:colOff>
      <xdr:row>66</xdr:row>
      <xdr:rowOff>174625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44ABCBA2-F4DE-1523-7330-6D6DBC80741B}"/>
            </a:ext>
          </a:extLst>
        </xdr:cNvPr>
        <xdr:cNvSpPr/>
      </xdr:nvSpPr>
      <xdr:spPr>
        <a:xfrm>
          <a:off x="10937875" y="11985625"/>
          <a:ext cx="470958" cy="14816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438149</xdr:colOff>
      <xdr:row>67</xdr:row>
      <xdr:rowOff>115358</xdr:rowOff>
    </xdr:from>
    <xdr:to>
      <xdr:col>12</xdr:col>
      <xdr:colOff>539749</xdr:colOff>
      <xdr:row>67</xdr:row>
      <xdr:rowOff>161077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2AEB496F-9BA7-48FD-A8EE-30237EBFAA9F}"/>
            </a:ext>
          </a:extLst>
        </xdr:cNvPr>
        <xdr:cNvSpPr/>
      </xdr:nvSpPr>
      <xdr:spPr>
        <a:xfrm>
          <a:off x="10090149" y="12265025"/>
          <a:ext cx="1953683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ergio Patiño" id="{60D7260F-AAA5-422B-B7DC-56FC12201C23}" userId="S::sergiopatino@RYMELCR.onmicrosoft.com::8c2522b2-1f8d-4427-ab65-bb07418ac67a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" dT="2026-02-17T15:24:13.22" personId="{60D7260F-AAA5-422B-B7DC-56FC12201C23}" id="{76D5B4A2-3352-4B67-BFF5-7AE5B87A4A52}">
    <text>Este dato viene del elemento desde el módulo de especificaciones técnicas.</text>
  </threadedComment>
  <threadedComment ref="P2" dT="2026-02-17T15:24:13.22" personId="{60D7260F-AAA5-422B-B7DC-56FC12201C23}" id="{34B82031-E8FF-4CDE-B8E1-5B643BACF9E7}">
    <text>Este dato viene del elemento desde el módulo de especificaciones técnicas.</text>
  </threadedComment>
  <threadedComment ref="Y2" dT="2026-02-17T15:24:13.22" personId="{60D7260F-AAA5-422B-B7DC-56FC12201C23}" id="{F545A904-03E0-4DF1-8EE4-C955F34CD4BD}">
    <text>Este dato viene del elemento desde el módulo de especificaciones técnicas.</text>
  </threadedComment>
  <threadedComment ref="H5" dT="2026-02-17T15:24:13.22" personId="{60D7260F-AAA5-422B-B7DC-56FC12201C23}" id="{7C610B4D-C5B0-4714-912A-5454C4B68567}">
    <text>Este dato viene del elemento desde el módulo de especificaciones técnicas.</text>
  </threadedComment>
  <threadedComment ref="P5" dT="2026-02-17T15:24:13.22" personId="{60D7260F-AAA5-422B-B7DC-56FC12201C23}" id="{EEE0467E-14C4-4BB6-BA0C-4BF721941D89}">
    <text>Este dato viene del elemento desde el módulo de especificaciones técnicas.</text>
  </threadedComment>
  <threadedComment ref="Y5" dT="2026-02-17T15:24:13.22" personId="{60D7260F-AAA5-422B-B7DC-56FC12201C23}" id="{940AF193-74C7-4543-BFA2-54076A81C2EE}">
    <text>Este dato viene del elemento desde el módulo de especificaciones técnicas.</text>
  </threadedComment>
  <threadedComment ref="AG5" dT="2026-02-17T15:24:13.22" personId="{60D7260F-AAA5-422B-B7DC-56FC12201C23}" id="{BD6548A6-EE9F-4054-88E6-20D9F510C312}">
    <text>Este dato viene del elemento desde el módulo de especificaciones técnicas.</text>
  </threadedComment>
  <threadedComment ref="C6" dT="2026-02-17T18:10:08.63" personId="{60D7260F-AAA5-422B-B7DC-56FC12201C23}" id="{4188D415-0D34-4EFE-BE1E-8916CA22B766}">
    <text>Ver tabla, la idea es escoger el grado y traer el dato de la tabla.</text>
  </threadedComment>
  <threadedComment ref="U13" dT="2026-02-17T16:17:49.85" personId="{60D7260F-AAA5-422B-B7DC-56FC12201C23}" id="{BC1505FF-47C6-428C-9DDF-17BDE2F412B7}">
    <text>Todos éstos datos vienen del módulo de especificaciones técnicas</text>
  </threadedComment>
  <threadedComment ref="L23" dT="2026-02-17T16:18:10.43" personId="{60D7260F-AAA5-422B-B7DC-56FC12201C23}" id="{896C5293-4370-4E7E-8600-BBA8F63B6DAB}">
    <text>Selector, sólo puede elegir uno.</text>
  </threadedComment>
  <threadedComment ref="L24" dT="2026-02-17T16:18:16.06" personId="{60D7260F-AAA5-422B-B7DC-56FC12201C23}" id="{3E344E30-F796-43C3-9E8F-F5BBF7531C52}">
    <text>Selector, sólo puede elegir uno.</text>
  </threadedComment>
  <threadedComment ref="W28" dT="2026-02-17T17:04:32.15" personId="{60D7260F-AAA5-422B-B7DC-56FC12201C23}" id="{81278FC7-C5D9-4232-9424-88BA1808E01D}">
    <text>Ver tabla de aislamientos</text>
  </threadedComment>
  <threadedComment ref="W28" dT="2026-02-17T17:05:24.23" personId="{60D7260F-AAA5-422B-B7DC-56FC12201C23}" id="{1DD2572E-0924-4ECC-B08E-F551AA88BF0D}" parentId="{81278FC7-C5D9-4232-9424-88BA1808E01D}">
    <text>Puede ser un selector, sólo puede escoger una opción , las tablas deben ser editables, se deben agregar o eliminar datos</text>
  </threadedComment>
  <threadedComment ref="I33" dT="2026-02-17T19:04:34.03" personId="{60D7260F-AAA5-422B-B7DC-56FC12201C23}" id="{CFFB6DAF-196B-49C3-9951-E4F78B1E9E9D}">
    <text xml:space="preserve">M0 0,75,	M0 0,85,	M1,	M4,	AYFA-N,	AYFA-NE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3" dT="2026-02-10T18:49:49.20" personId="{60D7260F-AAA5-422B-B7DC-56FC12201C23}" id="{94CFC795-78E8-4335-A7FC-51F3BE976355}">
    <text>Esta tabla debe ser administrada ya que se pueden hacer nuevos registros en el tiempo de nuevos valores. La tabla puede crecer.</text>
  </threadedComment>
  <threadedComment ref="B3" dT="2026-02-10T19:34:37.31" personId="{60D7260F-AAA5-422B-B7DC-56FC12201C23}" id="{36631BC6-1214-404B-887F-5981A2C43873}" parentId="{94CFC795-78E8-4335-A7FC-51F3BE976355}">
    <text>Tabla no visibles por los usuarios</text>
  </threadedComment>
  <threadedComment ref="K13" dT="2026-02-10T19:31:09.17" personId="{60D7260F-AAA5-422B-B7DC-56FC12201C23}" id="{5689C9E3-6A82-48D8-83F3-9CCF6DDC13E7}">
    <text>Estas tablas deben ser administradas ya que pueden ser editadas o puede que se incluya una adicional.</text>
  </threadedComment>
  <threadedComment ref="K13" dT="2026-02-10T19:34:55.31" personId="{60D7260F-AAA5-422B-B7DC-56FC12201C23}" id="{5C9894FC-120F-4FA0-98C7-DB37C1C4CD26}" parentId="{5689C9E3-6A82-48D8-83F3-9CCF6DDC13E7}">
    <text>Tablas no visibles por lo usuarios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7" dT="2026-02-10T19:45:16.83" personId="{60D7260F-AAA5-422B-B7DC-56FC12201C23}" id="{6DB7AFB6-5B79-4E08-8E11-74A3387778DD}">
    <text>Este dato se llenó en el módulo de especificaciones técnicas, la idea es traerlo y pegarlo</text>
  </threadedComment>
  <threadedComment ref="C8" dT="2026-02-10T19:44:37.46" personId="{60D7260F-AAA5-422B-B7DC-56FC12201C23}" id="{4A7EB003-0E21-46A9-A0FA-7431C3E5D95F}">
    <text>Este dato se llenó en el módulo de especificaciones técnicas, la idea es traerlo y pegarlo</text>
  </threadedComment>
  <threadedComment ref="C9" dT="2026-02-10T19:44:24.82" personId="{60D7260F-AAA5-422B-B7DC-56FC12201C23}" id="{A7E28E8F-1C54-42B1-ABCE-ABE23D50129A}">
    <text>Este dato se llenó en el módulo de especificaciones técnicas, la idea es traerlo y pegarlo</text>
  </threadedComment>
  <threadedComment ref="C10" dT="2026-02-10T19:45:55.83" personId="{60D7260F-AAA5-422B-B7DC-56FC12201C23}" id="{180AF81A-96F9-4B22-9090-153F4E7214E1}">
    <text>Este dato se llenó en el módulo de especificaciones técnicas, la idea es traerlo y pegarlo</text>
  </threadedComment>
  <threadedComment ref="C11" dT="2026-02-10T19:43:56.27" personId="{60D7260F-AAA5-422B-B7DC-56FC12201C23}" id="{86828C33-D0C2-43F9-9FAD-9A0EF0D59DD3}">
    <text>Por el momento es un valor no visible por el usuario, luego será usado en otra fórmula</text>
  </threadedComment>
  <threadedComment ref="B14" dT="2026-02-10T18:49:49.20" personId="{60D7260F-AAA5-422B-B7DC-56FC12201C23}" id="{8A1C39EF-093E-448B-B541-BB7ABEA298D2}">
    <text>Esta tabla debe ser administrada ya que se pueden hacer nuevos registros en el tiempo de nuevos valores. La tabla puede crecer.</text>
  </threadedComment>
  <threadedComment ref="B14" dT="2026-02-10T19:34:37.31" personId="{60D7260F-AAA5-422B-B7DC-56FC12201C23}" id="{CBB986A2-579D-45A6-BC96-DF6ED8A8F368}" parentId="{8A1C39EF-093E-448B-B541-BB7ABEA298D2}">
    <text>Tabla no visibles por los usuarios</text>
  </threadedComment>
  <threadedComment ref="K25" dT="2026-02-10T19:31:09.17" personId="{60D7260F-AAA5-422B-B7DC-56FC12201C23}" id="{36B8FE36-7127-4052-AE8A-50F06660C6CB}">
    <text>Estas tablas deben ser administradas ya que pueden ser editadas o puede que se incluya una adicional.</text>
  </threadedComment>
  <threadedComment ref="K25" dT="2026-02-10T19:34:55.31" personId="{60D7260F-AAA5-422B-B7DC-56FC12201C23}" id="{9F9F2DF9-434B-4F09-A708-B5B736CBB8AA}" parentId="{36B8FE36-7127-4052-AE8A-50F06660C6CB}">
    <text>Tablas no visibles por lo usuarios</text>
  </threadedComment>
  <threadedComment ref="C55" dT="2026-02-10T19:36:44.45" personId="{60D7260F-AAA5-422B-B7DC-56FC12201C23}" id="{32BD8620-199E-49D0-91F7-A527BC8C8607}">
    <text>Este dato se llenó en el módulo de especificaciones técnicas, la idea es traerlo y pegarlo</text>
  </threadedComment>
  <threadedComment ref="C56" dT="2026-02-10T19:36:56.99" personId="{60D7260F-AAA5-422B-B7DC-56FC12201C23}" id="{1FC11DD1-39BA-4925-8D89-4D168B06C59A}">
    <text>Este dato se llenó en el módulo de especificaciones técnicas, la idea es traerlo y pegarlo</text>
  </threadedComment>
  <threadedComment ref="C57" dT="2026-02-10T21:08:10.40" personId="{60D7260F-AAA5-422B-B7DC-56FC12201C23}" id="{06E7FD0F-0153-4658-9F2B-72D05557DB8E}">
    <text>Este dato se llenó en el módulo de especificaciones técnicas, la idea es traerlo y pegarlo</text>
  </threadedComment>
  <threadedComment ref="C58" dT="2026-02-10T19:53:16.73" personId="{60D7260F-AAA5-422B-B7DC-56FC12201C23}" id="{DD86213C-D1D4-427D-BD47-4FC3F730AC64}">
    <text>Este dato se llenó en el módulo de especificaciones técnicas, la idea es traerlo y pegarlo</text>
  </threadedComment>
  <threadedComment ref="C59" dT="2026-02-10T19:53:21.20" personId="{60D7260F-AAA5-422B-B7DC-56FC12201C23}" id="{99053B4C-72CE-48A0-81D2-99FC345A675D}">
    <text>Este dato se llenó en el módulo de especificaciones técnicas, la idea es traerlo y pegarlo</text>
  </threadedComment>
  <threadedComment ref="C65" dT="2026-02-13T16:54:46.07" personId="{60D7260F-AAA5-422B-B7DC-56FC12201C23}" id="{A8B7299C-76BD-447B-B59E-31AD3C444A38}">
    <text>Dato visible para el usuario</text>
  </threadedComment>
  <threadedComment ref="C66" dT="2026-02-10T20:02:56.75" personId="{60D7260F-AAA5-422B-B7DC-56FC12201C23}" id="{F9AD6EDC-FADD-4A14-965C-CE54578C5D30}">
    <text>El usuario puede elegir Aluminio o Cobre</text>
  </threadedComment>
  <threadedComment ref="C66" dT="2026-02-10T20:05:07.27" personId="{60D7260F-AAA5-422B-B7DC-56FC12201C23}" id="{8BD86061-17AB-46EB-8980-F6914A41C12F}" parentId="{F9AD6EDC-FADD-4A14-965C-CE54578C5D30}">
    <text>Sólo uno de los dos</text>
  </threadedComment>
  <threadedComment ref="C67" dT="2026-02-10T20:09:53.56" personId="{60D7260F-AAA5-422B-B7DC-56FC12201C23}" id="{EAE89883-F723-4452-907D-7B935CB08636}">
    <text>El usuario sólo debe elegir uno de los tres, puede ser un selector</text>
  </threadedComment>
  <threadedComment ref="F76" dT="2026-02-16T19:39:04.46" personId="{60D7260F-AAA5-422B-B7DC-56FC12201C23}" id="{72707E89-E847-4F8E-BC06-0BFC83CA3811}">
    <text>Número decimal</text>
  </threadedComment>
  <threadedComment ref="C79" dT="2026-02-16T19:38:54.51" personId="{60D7260F-AAA5-422B-B7DC-56FC12201C23}" id="{EB2DB5E4-8F3B-4B4D-BF70-CA255A730F9B}">
    <text>Número decimal</text>
  </threadedComment>
  <threadedComment ref="F79" dT="2026-02-16T19:46:57.06" personId="{60D7260F-AAA5-422B-B7DC-56FC12201C23}" id="{F5345D0D-B933-418C-8525-AEAEC862DEC8}">
    <text>Número decimal</text>
  </threadedComment>
  <threadedComment ref="F80" dT="2026-02-16T19:47:11.80" personId="{60D7260F-AAA5-422B-B7DC-56FC12201C23}" id="{DCE3A640-F8FD-4401-AF36-8414D79FB287}">
    <text>Número decimal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02D88-034A-40FF-B826-7958C6EEBE0C}">
  <sheetPr>
    <tabColor rgb="FFFFC000"/>
  </sheetPr>
  <dimension ref="C2:AP45"/>
  <sheetViews>
    <sheetView tabSelected="1" zoomScale="190" zoomScaleNormal="190" workbookViewId="0">
      <pane xSplit="1" ySplit="7" topLeftCell="B29" activePane="bottomRight" state="frozen"/>
      <selection pane="topRight" activeCell="B1" sqref="B1"/>
      <selection pane="bottomLeft" activeCell="A5" sqref="A5"/>
      <selection pane="bottomRight" activeCell="M20" sqref="M20"/>
    </sheetView>
  </sheetViews>
  <sheetFormatPr baseColWidth="10" defaultColWidth="3.6328125" defaultRowHeight="14.5" x14ac:dyDescent="0.35"/>
  <cols>
    <col min="2" max="2" width="1" customWidth="1"/>
    <col min="14" max="14" width="4.1796875" customWidth="1"/>
    <col min="15" max="15" width="4.08984375" customWidth="1"/>
    <col min="30" max="30" width="4.36328125" customWidth="1"/>
  </cols>
  <sheetData>
    <row r="2" spans="3:42" x14ac:dyDescent="0.35">
      <c r="C2" s="88" t="s">
        <v>127</v>
      </c>
      <c r="D2" s="88"/>
      <c r="E2" s="88"/>
      <c r="F2" s="88"/>
      <c r="G2" s="88"/>
      <c r="H2" s="105"/>
      <c r="I2" s="105"/>
      <c r="K2" s="88" t="s">
        <v>128</v>
      </c>
      <c r="L2" s="88"/>
      <c r="M2" s="88"/>
      <c r="N2" s="88"/>
      <c r="O2" s="88"/>
      <c r="P2" s="105"/>
      <c r="Q2" s="105"/>
      <c r="S2" s="88" t="s">
        <v>129</v>
      </c>
      <c r="T2" s="88"/>
      <c r="U2" s="88"/>
      <c r="V2" s="88"/>
      <c r="W2" s="88"/>
      <c r="X2" s="88"/>
      <c r="Y2" s="105"/>
      <c r="Z2" s="105"/>
      <c r="AB2" s="113"/>
      <c r="AC2" s="113"/>
      <c r="AD2" s="113"/>
      <c r="AE2" s="113"/>
      <c r="AF2" s="113"/>
      <c r="AG2" s="114"/>
      <c r="AH2" s="114"/>
      <c r="AJ2" s="113"/>
      <c r="AK2" s="113"/>
      <c r="AL2" s="113"/>
      <c r="AM2" s="113"/>
      <c r="AN2" s="113"/>
      <c r="AO2" s="114"/>
      <c r="AP2" s="114"/>
    </row>
    <row r="3" spans="3:42" x14ac:dyDescent="0.35">
      <c r="C3" s="105"/>
      <c r="D3" s="105"/>
      <c r="E3" s="105"/>
      <c r="F3" s="105"/>
      <c r="G3" s="105"/>
      <c r="H3" s="105"/>
      <c r="I3" s="105"/>
      <c r="K3" s="105"/>
      <c r="L3" s="105"/>
      <c r="M3" s="105"/>
      <c r="N3" s="105"/>
      <c r="O3" s="105"/>
      <c r="P3" s="105"/>
      <c r="Q3" s="105"/>
      <c r="S3" s="105"/>
      <c r="T3" s="105"/>
      <c r="U3" s="105"/>
      <c r="V3" s="105"/>
      <c r="W3" s="105"/>
      <c r="X3" s="105"/>
      <c r="Y3" s="105"/>
      <c r="Z3" s="105"/>
      <c r="AB3" s="114"/>
      <c r="AC3" s="114"/>
      <c r="AD3" s="114"/>
      <c r="AE3" s="114"/>
      <c r="AF3" s="114"/>
      <c r="AG3" s="114"/>
      <c r="AH3" s="114"/>
      <c r="AJ3" s="114"/>
      <c r="AK3" s="114"/>
      <c r="AL3" s="114"/>
      <c r="AM3" s="114"/>
      <c r="AN3" s="114"/>
      <c r="AO3" s="114"/>
      <c r="AP3" s="114"/>
    </row>
    <row r="4" spans="3:42" x14ac:dyDescent="0.35">
      <c r="C4" s="108"/>
      <c r="D4" s="108"/>
      <c r="E4" s="108"/>
      <c r="F4" s="108"/>
      <c r="G4" s="108"/>
      <c r="H4" s="108"/>
      <c r="I4" s="108"/>
      <c r="K4" s="108"/>
      <c r="L4" s="108"/>
      <c r="M4" s="108"/>
      <c r="N4" s="108"/>
      <c r="O4" s="108"/>
      <c r="P4" s="108"/>
      <c r="Q4" s="108"/>
      <c r="S4" s="108"/>
      <c r="T4" s="108"/>
      <c r="U4" s="108"/>
      <c r="V4" s="108"/>
      <c r="W4" s="108"/>
      <c r="X4" s="108"/>
      <c r="Y4" s="108"/>
      <c r="Z4" s="108"/>
      <c r="AB4" s="108"/>
      <c r="AC4" s="108"/>
      <c r="AD4" s="108"/>
      <c r="AE4" s="108"/>
      <c r="AF4" s="108"/>
      <c r="AG4" s="108"/>
      <c r="AH4" s="108"/>
      <c r="AJ4" s="108"/>
      <c r="AK4" s="108"/>
      <c r="AL4" s="108"/>
      <c r="AM4" s="108"/>
      <c r="AN4" s="108"/>
      <c r="AO4" s="108"/>
      <c r="AP4" s="108"/>
    </row>
    <row r="5" spans="3:42" x14ac:dyDescent="0.35">
      <c r="C5" s="88" t="s">
        <v>126</v>
      </c>
      <c r="D5" s="88"/>
      <c r="E5" s="88"/>
      <c r="F5" s="88"/>
      <c r="G5" s="88"/>
      <c r="H5" s="105"/>
      <c r="I5" s="105"/>
      <c r="K5" s="109" t="s">
        <v>130</v>
      </c>
      <c r="L5" s="110"/>
      <c r="M5" s="110"/>
      <c r="N5" s="110"/>
      <c r="O5" s="111"/>
      <c r="P5" s="105"/>
      <c r="Q5" s="105"/>
      <c r="S5" s="88" t="s">
        <v>125</v>
      </c>
      <c r="T5" s="88"/>
      <c r="U5" s="88"/>
      <c r="V5" s="88"/>
      <c r="W5" s="88"/>
      <c r="X5" s="88"/>
      <c r="Y5" s="105"/>
      <c r="Z5" s="105"/>
      <c r="AB5" s="88" t="s">
        <v>124</v>
      </c>
      <c r="AC5" s="88"/>
      <c r="AD5" s="88"/>
      <c r="AE5" s="88"/>
      <c r="AF5" s="88"/>
      <c r="AG5" s="105"/>
      <c r="AH5" s="105"/>
      <c r="AJ5" s="113"/>
      <c r="AK5" s="113"/>
      <c r="AL5" s="113"/>
      <c r="AM5" s="113"/>
      <c r="AN5" s="113"/>
      <c r="AO5" s="114"/>
      <c r="AP5" s="114"/>
    </row>
    <row r="6" spans="3:42" x14ac:dyDescent="0.35">
      <c r="C6" s="135">
        <f>AE42*(VLOOKUP(I39*10,Tablas!B45:C156,2,TRUE))</f>
        <v>105.98399999999978</v>
      </c>
      <c r="D6" s="135"/>
      <c r="E6" s="135"/>
      <c r="F6" s="135"/>
      <c r="G6" s="135"/>
      <c r="H6" s="135"/>
      <c r="I6" s="135"/>
      <c r="K6" s="105"/>
      <c r="L6" s="105"/>
      <c r="M6" s="105"/>
      <c r="N6" s="105"/>
      <c r="O6" s="105"/>
      <c r="P6" s="105"/>
      <c r="Q6" s="105"/>
      <c r="S6" s="105"/>
      <c r="T6" s="105"/>
      <c r="U6" s="105"/>
      <c r="V6" s="105"/>
      <c r="W6" s="105"/>
      <c r="X6" s="105"/>
      <c r="Y6" s="105"/>
      <c r="Z6" s="105"/>
      <c r="AB6" s="105"/>
      <c r="AC6" s="105"/>
      <c r="AD6" s="105"/>
      <c r="AE6" s="105"/>
      <c r="AF6" s="105"/>
      <c r="AG6" s="105"/>
      <c r="AH6" s="105"/>
      <c r="AJ6" s="114"/>
      <c r="AK6" s="114"/>
      <c r="AL6" s="114"/>
      <c r="AM6" s="114"/>
      <c r="AN6" s="114"/>
      <c r="AO6" s="114"/>
      <c r="AP6" s="114"/>
    </row>
    <row r="9" spans="3:42" x14ac:dyDescent="0.35">
      <c r="C9" s="127" t="s">
        <v>11</v>
      </c>
    </row>
    <row r="10" spans="3:42" x14ac:dyDescent="0.35">
      <c r="AI10" s="62"/>
      <c r="AJ10" s="62"/>
      <c r="AK10" s="62"/>
      <c r="AL10" t="s">
        <v>134</v>
      </c>
    </row>
    <row r="11" spans="3:42" x14ac:dyDescent="0.35">
      <c r="C11" s="119" t="s">
        <v>18</v>
      </c>
      <c r="AI11" s="132"/>
      <c r="AJ11" s="132"/>
      <c r="AK11" s="132"/>
      <c r="AL11" s="133" t="s">
        <v>135</v>
      </c>
      <c r="AM11" s="133"/>
      <c r="AN11" s="133"/>
      <c r="AO11" s="133"/>
    </row>
    <row r="13" spans="3:42" x14ac:dyDescent="0.35">
      <c r="C13" s="117" t="s">
        <v>0</v>
      </c>
      <c r="D13" s="117"/>
      <c r="E13" s="117"/>
      <c r="F13" s="117"/>
      <c r="G13" s="120">
        <v>3000</v>
      </c>
      <c r="H13" s="121"/>
      <c r="K13" s="126" t="s">
        <v>13</v>
      </c>
      <c r="L13" s="126"/>
      <c r="M13" s="126"/>
      <c r="N13" s="126"/>
      <c r="O13" s="126"/>
      <c r="P13" s="126"/>
      <c r="Q13" s="126"/>
      <c r="R13" s="99">
        <v>7620</v>
      </c>
      <c r="S13" s="99"/>
      <c r="T13" s="99"/>
    </row>
    <row r="14" spans="3:42" x14ac:dyDescent="0.35">
      <c r="C14" s="118" t="s">
        <v>25</v>
      </c>
      <c r="D14" s="48"/>
      <c r="E14" s="48"/>
      <c r="F14" s="48"/>
      <c r="G14" s="120">
        <v>20</v>
      </c>
      <c r="H14" s="121"/>
      <c r="K14" s="126" t="s">
        <v>14</v>
      </c>
      <c r="L14" s="126"/>
      <c r="M14" s="126"/>
      <c r="N14" s="126"/>
      <c r="O14" s="126"/>
      <c r="P14" s="126"/>
      <c r="Q14" s="126"/>
      <c r="R14" s="99">
        <v>240</v>
      </c>
      <c r="S14" s="99"/>
      <c r="T14" s="99"/>
    </row>
    <row r="15" spans="3:42" x14ac:dyDescent="0.35">
      <c r="C15" s="118" t="s">
        <v>1</v>
      </c>
      <c r="D15" s="48"/>
      <c r="E15" s="48"/>
      <c r="F15" s="48"/>
      <c r="G15" s="120">
        <v>50</v>
      </c>
      <c r="H15" s="121"/>
      <c r="K15" s="126" t="s">
        <v>17</v>
      </c>
      <c r="L15" s="126"/>
      <c r="M15" s="126"/>
      <c r="N15" s="126"/>
      <c r="O15" s="126"/>
      <c r="P15" s="126"/>
      <c r="Q15" s="126"/>
      <c r="R15" s="99">
        <v>7</v>
      </c>
      <c r="S15" s="99"/>
      <c r="T15" s="99"/>
    </row>
    <row r="16" spans="3:42" x14ac:dyDescent="0.35">
      <c r="C16" s="118" t="s">
        <v>12</v>
      </c>
      <c r="D16" s="48"/>
      <c r="E16" s="48"/>
      <c r="F16" s="48"/>
      <c r="G16" s="120">
        <v>10</v>
      </c>
      <c r="H16" s="121"/>
      <c r="K16" s="126" t="s">
        <v>15</v>
      </c>
      <c r="L16" s="126"/>
      <c r="M16" s="126"/>
      <c r="N16" s="126"/>
      <c r="O16" s="126"/>
      <c r="P16" s="126"/>
      <c r="Q16" s="126"/>
      <c r="R16" s="99">
        <v>3</v>
      </c>
      <c r="S16" s="99"/>
      <c r="T16" s="99"/>
    </row>
    <row r="17" spans="3:33" x14ac:dyDescent="0.35">
      <c r="C17" s="122" t="s">
        <v>2</v>
      </c>
      <c r="D17" s="123"/>
      <c r="E17" s="123"/>
      <c r="F17" s="123"/>
      <c r="G17" s="124">
        <f>G14*(VLOOKUP(G13,Tablas!B3:C10,2,TRUE))</f>
        <v>36</v>
      </c>
      <c r="H17" s="125"/>
      <c r="K17" s="126" t="s">
        <v>16</v>
      </c>
      <c r="L17" s="126"/>
      <c r="M17" s="126"/>
      <c r="N17" s="126"/>
      <c r="O17" s="126"/>
      <c r="P17" s="126"/>
      <c r="Q17" s="126"/>
      <c r="R17" s="99">
        <v>2.5</v>
      </c>
      <c r="S17" s="99"/>
      <c r="T17" s="99"/>
    </row>
    <row r="19" spans="3:33" x14ac:dyDescent="0.35">
      <c r="C19" s="119" t="s">
        <v>19</v>
      </c>
    </row>
    <row r="20" spans="3:33" x14ac:dyDescent="0.35">
      <c r="C20" s="119"/>
    </row>
    <row r="21" spans="3:33" x14ac:dyDescent="0.35">
      <c r="C21" s="139" t="s">
        <v>65</v>
      </c>
      <c r="D21" s="140"/>
      <c r="E21" s="140"/>
      <c r="F21" s="140"/>
      <c r="G21" s="140"/>
      <c r="H21" s="141"/>
      <c r="I21" s="143"/>
      <c r="N21" s="139" t="s">
        <v>65</v>
      </c>
      <c r="O21" s="140"/>
      <c r="P21" s="140"/>
      <c r="Q21" s="140"/>
      <c r="R21" s="140"/>
      <c r="S21" s="140"/>
      <c r="T21" s="141"/>
      <c r="Y21" s="139" t="s">
        <v>65</v>
      </c>
      <c r="Z21" s="140"/>
      <c r="AA21" s="140"/>
      <c r="AB21" s="140"/>
      <c r="AC21" s="140"/>
      <c r="AD21" s="141"/>
      <c r="AE21" s="143"/>
    </row>
    <row r="22" spans="3:33" x14ac:dyDescent="0.35">
      <c r="C22" s="128" t="s">
        <v>131</v>
      </c>
      <c r="D22" s="128"/>
      <c r="E22" s="128"/>
      <c r="F22" s="128"/>
      <c r="G22" s="128"/>
      <c r="H22" s="128"/>
      <c r="I22" s="105">
        <f>(G17/R14)*1000</f>
        <v>150</v>
      </c>
      <c r="J22" s="105"/>
      <c r="K22" s="105"/>
      <c r="N22" s="130" t="s">
        <v>148</v>
      </c>
      <c r="O22" s="130"/>
      <c r="P22" s="130"/>
      <c r="Q22" s="130"/>
      <c r="R22" s="130"/>
      <c r="S22" s="130"/>
      <c r="T22" s="130"/>
      <c r="U22" s="99">
        <v>4</v>
      </c>
      <c r="V22" s="99"/>
      <c r="W22" s="145"/>
      <c r="Y22" s="130" t="s">
        <v>152</v>
      </c>
      <c r="Z22" s="130"/>
      <c r="AA22" s="130"/>
      <c r="AB22" s="130"/>
      <c r="AC22" s="130"/>
      <c r="AD22" s="144"/>
      <c r="AE22" s="120">
        <v>1</v>
      </c>
      <c r="AF22" s="121"/>
    </row>
    <row r="23" spans="3:33" x14ac:dyDescent="0.35">
      <c r="C23" s="129" t="s">
        <v>132</v>
      </c>
      <c r="D23" s="129"/>
      <c r="E23" s="129"/>
      <c r="F23" s="129"/>
      <c r="G23" s="129"/>
      <c r="H23" s="129"/>
      <c r="I23" s="95" t="s">
        <v>133</v>
      </c>
      <c r="J23" s="95"/>
      <c r="K23" s="95"/>
      <c r="N23" s="130" t="s">
        <v>149</v>
      </c>
      <c r="O23" s="130"/>
      <c r="P23" s="130"/>
      <c r="Q23" s="130"/>
      <c r="R23" s="130"/>
      <c r="S23" s="130"/>
      <c r="T23" s="130"/>
      <c r="U23" s="99">
        <v>3</v>
      </c>
      <c r="V23" s="99"/>
      <c r="W23" s="145"/>
      <c r="Y23" s="130" t="s">
        <v>153</v>
      </c>
      <c r="Z23" s="130"/>
      <c r="AA23" s="130"/>
      <c r="AB23" s="130"/>
      <c r="AC23" s="130"/>
      <c r="AD23" s="130"/>
      <c r="AE23" s="142">
        <v>1</v>
      </c>
      <c r="AF23" s="142"/>
    </row>
    <row r="24" spans="3:33" x14ac:dyDescent="0.35">
      <c r="C24" s="128" t="s">
        <v>21</v>
      </c>
      <c r="D24" s="128"/>
      <c r="E24" s="128"/>
      <c r="F24" s="128"/>
      <c r="G24" s="128"/>
      <c r="H24" s="128"/>
      <c r="I24" s="95" t="s">
        <v>27</v>
      </c>
      <c r="J24" s="95"/>
      <c r="K24" s="95"/>
      <c r="N24" s="131" t="s">
        <v>150</v>
      </c>
      <c r="O24" s="131"/>
      <c r="P24" s="131"/>
      <c r="Q24" s="131"/>
      <c r="R24" s="131"/>
      <c r="S24" s="131"/>
      <c r="T24" s="131"/>
      <c r="U24" s="136">
        <v>3.36</v>
      </c>
      <c r="V24" s="136"/>
      <c r="W24" s="146"/>
      <c r="Y24" s="131" t="s">
        <v>154</v>
      </c>
      <c r="Z24" s="131"/>
      <c r="AA24" s="131"/>
      <c r="AB24" s="131"/>
      <c r="AC24" s="131"/>
      <c r="AD24" s="131"/>
      <c r="AE24" s="136">
        <v>2</v>
      </c>
      <c r="AF24" s="136"/>
    </row>
    <row r="25" spans="3:33" x14ac:dyDescent="0.35">
      <c r="C25" s="128" t="s">
        <v>77</v>
      </c>
      <c r="D25" s="128"/>
      <c r="E25" s="128"/>
      <c r="F25" s="128"/>
      <c r="G25" s="128"/>
      <c r="H25" s="128"/>
      <c r="I25" s="135">
        <f>I22/((Tablas!B183*AE22*AE23)+(Tablas!B179*AE24*AE25))</f>
        <v>5.2202965128419292</v>
      </c>
      <c r="J25" s="135"/>
      <c r="K25" s="135"/>
      <c r="N25" s="131" t="s">
        <v>151</v>
      </c>
      <c r="O25" s="131"/>
      <c r="P25" s="131"/>
      <c r="Q25" s="131"/>
      <c r="R25" s="131"/>
      <c r="S25" s="131"/>
      <c r="T25" s="131"/>
      <c r="U25" s="136">
        <v>3.36</v>
      </c>
      <c r="V25" s="136"/>
      <c r="W25" s="146"/>
      <c r="Y25" s="131" t="s">
        <v>155</v>
      </c>
      <c r="Z25" s="131"/>
      <c r="AA25" s="131"/>
      <c r="AB25" s="131"/>
      <c r="AC25" s="131"/>
      <c r="AD25" s="131"/>
      <c r="AE25" s="136">
        <v>1</v>
      </c>
      <c r="AF25" s="136"/>
    </row>
    <row r="26" spans="3:33" x14ac:dyDescent="0.35">
      <c r="D26" s="116"/>
      <c r="E26" s="116"/>
      <c r="F26" s="116"/>
      <c r="G26" s="116"/>
      <c r="H26" s="116"/>
      <c r="I26" s="116"/>
    </row>
    <row r="27" spans="3:33" x14ac:dyDescent="0.35">
      <c r="C27" s="138" t="s">
        <v>123</v>
      </c>
      <c r="D27" s="138"/>
      <c r="E27" s="138"/>
      <c r="F27" s="138"/>
      <c r="G27" s="138"/>
      <c r="H27" s="138"/>
      <c r="I27" s="116"/>
      <c r="N27" s="138" t="s">
        <v>46</v>
      </c>
      <c r="O27" s="138"/>
      <c r="P27" s="138"/>
      <c r="Q27" s="138"/>
      <c r="R27" s="138"/>
      <c r="S27" s="138"/>
      <c r="T27" s="116"/>
      <c r="Y27" s="138" t="s">
        <v>146</v>
      </c>
      <c r="Z27" s="138"/>
      <c r="AA27" s="138"/>
      <c r="AB27" s="138"/>
      <c r="AC27" s="138"/>
      <c r="AD27" s="138"/>
      <c r="AE27" s="116"/>
    </row>
    <row r="28" spans="3:33" x14ac:dyDescent="0.35">
      <c r="C28" s="128" t="s">
        <v>81</v>
      </c>
      <c r="D28" s="128"/>
      <c r="E28" s="128"/>
      <c r="F28" s="128"/>
      <c r="G28" s="128"/>
      <c r="H28" s="128"/>
      <c r="I28" s="99">
        <v>3</v>
      </c>
      <c r="J28" s="99"/>
      <c r="K28" s="99"/>
      <c r="N28" s="128" t="s">
        <v>137</v>
      </c>
      <c r="O28" s="128"/>
      <c r="P28" s="128"/>
      <c r="Q28" s="128"/>
      <c r="R28" s="128"/>
      <c r="S28" s="128"/>
      <c r="T28" s="99">
        <f>Tablas!C231</f>
        <v>1.2999999999999999E-2</v>
      </c>
      <c r="U28" s="99"/>
      <c r="V28" s="99"/>
      <c r="W28" s="145"/>
      <c r="Y28" s="128" t="s">
        <v>147</v>
      </c>
      <c r="Z28" s="128"/>
      <c r="AA28" s="128"/>
      <c r="AB28" s="128"/>
      <c r="AC28" s="128"/>
      <c r="AD28" s="128"/>
      <c r="AE28" s="120">
        <v>6</v>
      </c>
      <c r="AF28" s="121"/>
      <c r="AG28" s="154"/>
    </row>
    <row r="29" spans="3:33" x14ac:dyDescent="0.35">
      <c r="C29" s="128" t="s">
        <v>136</v>
      </c>
      <c r="D29" s="128"/>
      <c r="E29" s="128"/>
      <c r="F29" s="128"/>
      <c r="G29" s="128"/>
      <c r="H29" s="128"/>
      <c r="I29" s="99">
        <v>2</v>
      </c>
      <c r="J29" s="99"/>
      <c r="K29" s="99"/>
      <c r="N29" s="128" t="s">
        <v>138</v>
      </c>
      <c r="O29" s="128"/>
      <c r="P29" s="128"/>
      <c r="Q29" s="128"/>
      <c r="R29" s="128"/>
      <c r="S29" s="128"/>
      <c r="T29" s="99">
        <f>Tablas!C232</f>
        <v>2.5000000000000001E-2</v>
      </c>
      <c r="U29" s="99"/>
      <c r="V29" s="99"/>
      <c r="W29" s="145"/>
      <c r="Y29" s="128" t="s">
        <v>156</v>
      </c>
      <c r="Z29" s="128"/>
      <c r="AA29" s="128"/>
      <c r="AB29" s="128"/>
      <c r="AC29" s="128"/>
      <c r="AD29" s="128"/>
      <c r="AE29" s="120">
        <v>2</v>
      </c>
      <c r="AF29" s="121"/>
      <c r="AG29" s="154"/>
    </row>
    <row r="30" spans="3:33" x14ac:dyDescent="0.35">
      <c r="C30" s="128" t="s">
        <v>79</v>
      </c>
      <c r="D30" s="128"/>
      <c r="E30" s="128"/>
      <c r="F30" s="128"/>
      <c r="G30" s="128"/>
      <c r="H30" s="128"/>
      <c r="I30" s="99">
        <v>6</v>
      </c>
      <c r="J30" s="99"/>
      <c r="K30" s="99"/>
      <c r="N30" s="128" t="s">
        <v>139</v>
      </c>
      <c r="O30" s="128"/>
      <c r="P30" s="128"/>
      <c r="Q30" s="128"/>
      <c r="R30" s="128"/>
      <c r="S30" s="128"/>
      <c r="T30" s="99">
        <v>0</v>
      </c>
      <c r="U30" s="99"/>
      <c r="V30" s="99"/>
      <c r="W30" s="145"/>
      <c r="Y30" s="128" t="s">
        <v>89</v>
      </c>
      <c r="Z30" s="128"/>
      <c r="AA30" s="128"/>
      <c r="AB30" s="128"/>
      <c r="AC30" s="128"/>
      <c r="AD30" s="128"/>
      <c r="AE30" s="158">
        <f>AE28*AE29+I22/100+8.3</f>
        <v>21.8</v>
      </c>
      <c r="AF30" s="156"/>
      <c r="AG30" s="155"/>
    </row>
    <row r="32" spans="3:33" x14ac:dyDescent="0.35">
      <c r="C32" s="147" t="s">
        <v>158</v>
      </c>
      <c r="D32" s="148"/>
      <c r="E32" s="148"/>
      <c r="F32" s="148"/>
      <c r="G32" s="148"/>
      <c r="H32" s="149"/>
      <c r="N32" s="147" t="s">
        <v>162</v>
      </c>
      <c r="O32" s="148"/>
      <c r="P32" s="148"/>
      <c r="Q32" s="148"/>
      <c r="R32" s="148"/>
      <c r="S32" s="149"/>
      <c r="Y32" s="147" t="s">
        <v>163</v>
      </c>
      <c r="Z32" s="148"/>
      <c r="AA32" s="148"/>
      <c r="AB32" s="148"/>
      <c r="AC32" s="148"/>
      <c r="AD32" s="149"/>
      <c r="AE32" s="143"/>
    </row>
    <row r="33" spans="3:32" x14ac:dyDescent="0.35">
      <c r="C33" s="130" t="s">
        <v>122</v>
      </c>
      <c r="D33" s="130"/>
      <c r="E33" s="130"/>
      <c r="F33" s="130"/>
      <c r="G33" s="130"/>
      <c r="H33" s="130"/>
      <c r="I33" s="99" t="s">
        <v>111</v>
      </c>
      <c r="J33" s="99"/>
      <c r="K33" s="99"/>
      <c r="N33" s="128" t="s">
        <v>161</v>
      </c>
      <c r="O33" s="128"/>
      <c r="P33" s="128"/>
      <c r="Q33" s="128"/>
      <c r="R33" s="128"/>
      <c r="S33" s="128"/>
      <c r="T33" s="105">
        <f>T37*2+T34/10+T36</f>
        <v>115</v>
      </c>
      <c r="U33" s="105"/>
      <c r="V33" s="105"/>
      <c r="Y33" s="150" t="s">
        <v>96</v>
      </c>
      <c r="Z33" s="150"/>
      <c r="AA33" s="150"/>
      <c r="AB33" s="150"/>
      <c r="AC33" s="150"/>
      <c r="AD33" s="150"/>
      <c r="AE33" s="157">
        <f>(I28*2.36+I35*2)/10</f>
        <v>16.708000000000002</v>
      </c>
      <c r="AF33" s="157"/>
    </row>
    <row r="34" spans="3:32" x14ac:dyDescent="0.35">
      <c r="C34" s="130" t="s">
        <v>76</v>
      </c>
      <c r="D34" s="130"/>
      <c r="E34" s="130"/>
      <c r="F34" s="130"/>
      <c r="G34" s="130"/>
      <c r="H34" s="130"/>
      <c r="I34" s="99">
        <v>100</v>
      </c>
      <c r="J34" s="99"/>
      <c r="K34" s="99"/>
      <c r="N34" s="131" t="s">
        <v>91</v>
      </c>
      <c r="O34" s="131"/>
      <c r="P34" s="131"/>
      <c r="Q34" s="131"/>
      <c r="R34" s="131"/>
      <c r="S34" s="131"/>
      <c r="T34" s="136">
        <v>200</v>
      </c>
      <c r="U34" s="136"/>
      <c r="V34" s="136"/>
      <c r="Y34" s="150" t="s">
        <v>101</v>
      </c>
      <c r="Z34" s="150"/>
      <c r="AA34" s="150"/>
      <c r="AB34" s="150"/>
      <c r="AC34" s="150"/>
      <c r="AD34" s="150"/>
      <c r="AE34" s="157">
        <f>(I29*0.023+I35*4)/1000</f>
        <v>0.320046</v>
      </c>
      <c r="AF34" s="157"/>
    </row>
    <row r="35" spans="3:32" x14ac:dyDescent="0.35">
      <c r="C35" s="130" t="s">
        <v>160</v>
      </c>
      <c r="D35" s="130"/>
      <c r="E35" s="130"/>
      <c r="F35" s="130"/>
      <c r="G35" s="130"/>
      <c r="H35" s="130"/>
      <c r="I35" s="99">
        <v>80</v>
      </c>
      <c r="J35" s="99"/>
      <c r="K35" s="99"/>
      <c r="N35" s="131" t="s">
        <v>93</v>
      </c>
      <c r="O35" s="131"/>
      <c r="P35" s="131"/>
      <c r="Q35" s="131"/>
      <c r="R35" s="131"/>
      <c r="S35" s="131"/>
      <c r="T35" s="153">
        <f>I37*U23+T28*I37</f>
        <v>30.13</v>
      </c>
      <c r="U35" s="153"/>
      <c r="V35" s="153"/>
      <c r="Y35" s="150" t="s">
        <v>164</v>
      </c>
      <c r="Z35" s="150"/>
      <c r="AA35" s="150"/>
      <c r="AB35" s="150"/>
      <c r="AC35" s="150"/>
      <c r="AD35" s="150"/>
      <c r="AE35" s="157">
        <f>I30*0.002</f>
        <v>1.2E-2</v>
      </c>
      <c r="AF35" s="157"/>
    </row>
    <row r="36" spans="3:32" x14ac:dyDescent="0.35">
      <c r="C36" s="131" t="s">
        <v>159</v>
      </c>
      <c r="D36" s="131"/>
      <c r="E36" s="131"/>
      <c r="F36" s="131"/>
      <c r="G36" s="131"/>
      <c r="H36" s="131"/>
      <c r="I36" s="136">
        <v>0.95</v>
      </c>
      <c r="J36" s="136"/>
      <c r="K36" s="136"/>
      <c r="N36" s="131" t="s">
        <v>94</v>
      </c>
      <c r="O36" s="131"/>
      <c r="P36" s="131"/>
      <c r="Q36" s="131"/>
      <c r="R36" s="131"/>
      <c r="S36" s="131"/>
      <c r="T36" s="153">
        <f>(I34*2+I37*U23)/10</f>
        <v>23</v>
      </c>
      <c r="U36" s="153"/>
      <c r="V36" s="153"/>
      <c r="Y36" s="150" t="s">
        <v>103</v>
      </c>
      <c r="Z36" s="150"/>
      <c r="AA36" s="150"/>
      <c r="AB36" s="150"/>
      <c r="AC36" s="150"/>
      <c r="AD36" s="150"/>
      <c r="AE36" s="157">
        <f>T28*2*0.48</f>
        <v>1.248E-2</v>
      </c>
      <c r="AF36" s="157"/>
    </row>
    <row r="37" spans="3:32" x14ac:dyDescent="0.35">
      <c r="C37" s="130" t="s">
        <v>86</v>
      </c>
      <c r="D37" s="130"/>
      <c r="E37" s="130"/>
      <c r="F37" s="130"/>
      <c r="G37" s="130"/>
      <c r="H37" s="130"/>
      <c r="I37" s="99">
        <v>10</v>
      </c>
      <c r="J37" s="99"/>
      <c r="K37" s="99"/>
      <c r="N37" s="151" t="s">
        <v>90</v>
      </c>
      <c r="O37" s="151"/>
      <c r="P37" s="151"/>
      <c r="Q37" s="151"/>
      <c r="R37" s="151"/>
      <c r="S37" s="151"/>
      <c r="T37" s="152">
        <f>(I35*2+I34*2)/10</f>
        <v>36</v>
      </c>
      <c r="U37" s="152"/>
      <c r="V37" s="152"/>
      <c r="Y37" s="150" t="s">
        <v>104</v>
      </c>
      <c r="Z37" s="150"/>
      <c r="AA37" s="150"/>
      <c r="AB37" s="150"/>
      <c r="AC37" s="150"/>
      <c r="AD37" s="150"/>
      <c r="AE37" s="157">
        <f>T29*3*0.1</f>
        <v>7.5000000000000015E-3</v>
      </c>
      <c r="AF37" s="157"/>
    </row>
    <row r="38" spans="3:32" x14ac:dyDescent="0.35">
      <c r="C38" s="130" t="s">
        <v>157</v>
      </c>
      <c r="D38" s="130"/>
      <c r="E38" s="130"/>
      <c r="F38" s="130"/>
      <c r="G38" s="130"/>
      <c r="H38" s="130"/>
      <c r="I38" s="99">
        <v>1</v>
      </c>
      <c r="J38" s="99"/>
      <c r="K38" s="99"/>
      <c r="Y38" s="150" t="s">
        <v>105</v>
      </c>
      <c r="Z38" s="150"/>
      <c r="AA38" s="150"/>
      <c r="AB38" s="150"/>
      <c r="AC38" s="150"/>
      <c r="AD38" s="150"/>
      <c r="AE38" s="157">
        <f>T30*2*0.9</f>
        <v>0</v>
      </c>
      <c r="AF38" s="157"/>
    </row>
    <row r="39" spans="3:32" x14ac:dyDescent="0.35">
      <c r="C39" s="130" t="s">
        <v>107</v>
      </c>
      <c r="D39" s="130"/>
      <c r="E39" s="130"/>
      <c r="F39" s="130"/>
      <c r="G39" s="130"/>
      <c r="H39" s="130"/>
      <c r="I39" s="134">
        <f>R14*10^6/(2.22*I34*I35*I36*I37*I38*10^3)</f>
        <v>1.4224751066856327</v>
      </c>
      <c r="J39" s="134"/>
      <c r="K39" s="134"/>
      <c r="Y39" s="150" t="s">
        <v>106</v>
      </c>
      <c r="Z39" s="150"/>
      <c r="AA39" s="150"/>
      <c r="AB39" s="150"/>
      <c r="AC39" s="150"/>
      <c r="AD39" s="150"/>
      <c r="AE39" s="157">
        <f>AE28*0.006*AE29</f>
        <v>7.2000000000000008E-2</v>
      </c>
      <c r="AF39" s="157"/>
    </row>
    <row r="40" spans="3:32" x14ac:dyDescent="0.35">
      <c r="Y40" s="150" t="s">
        <v>165</v>
      </c>
      <c r="Z40" s="150"/>
      <c r="AA40" s="150"/>
      <c r="AB40" s="150"/>
      <c r="AC40" s="150"/>
      <c r="AD40" s="150"/>
      <c r="AE40" s="157">
        <f>(T37*U22*U23*I35*0.2)/1000</f>
        <v>6.9119999999999999</v>
      </c>
      <c r="AF40" s="157"/>
    </row>
    <row r="41" spans="3:32" x14ac:dyDescent="0.35">
      <c r="Y41" s="150" t="s">
        <v>166</v>
      </c>
      <c r="Z41" s="150"/>
      <c r="AA41" s="150"/>
      <c r="AB41" s="150"/>
      <c r="AC41" s="150"/>
      <c r="AD41" s="150"/>
      <c r="AE41" s="157">
        <f>(U24*AE24+I35*0.2)/10</f>
        <v>2.2719999999999998</v>
      </c>
      <c r="AF41" s="157"/>
    </row>
    <row r="42" spans="3:32" x14ac:dyDescent="0.35">
      <c r="Y42" s="150" t="s">
        <v>97</v>
      </c>
      <c r="Z42" s="150"/>
      <c r="AA42" s="150"/>
      <c r="AB42" s="150"/>
      <c r="AC42" s="150"/>
      <c r="AD42" s="150"/>
      <c r="AE42" s="157">
        <f>(I35*2+I34*2)*0.32</f>
        <v>115.2</v>
      </c>
      <c r="AF42" s="157"/>
    </row>
    <row r="45" spans="3:32" x14ac:dyDescent="0.35">
      <c r="C45" s="119" t="s">
        <v>167</v>
      </c>
    </row>
  </sheetData>
  <mergeCells count="132">
    <mergeCell ref="Y42:AD42"/>
    <mergeCell ref="AE38:AF38"/>
    <mergeCell ref="AE39:AF39"/>
    <mergeCell ref="AE40:AF40"/>
    <mergeCell ref="AE41:AF41"/>
    <mergeCell ref="AE42:AF42"/>
    <mergeCell ref="Y37:AD37"/>
    <mergeCell ref="Y38:AD38"/>
    <mergeCell ref="Y39:AD39"/>
    <mergeCell ref="Y40:AD40"/>
    <mergeCell ref="Y41:AD41"/>
    <mergeCell ref="AE34:AF34"/>
    <mergeCell ref="Y35:AD35"/>
    <mergeCell ref="AE35:AF35"/>
    <mergeCell ref="Y36:AD36"/>
    <mergeCell ref="AE36:AF36"/>
    <mergeCell ref="AE37:AF37"/>
    <mergeCell ref="T35:V35"/>
    <mergeCell ref="T36:V36"/>
    <mergeCell ref="T37:V37"/>
    <mergeCell ref="AE28:AF28"/>
    <mergeCell ref="AE29:AF29"/>
    <mergeCell ref="AE30:AF30"/>
    <mergeCell ref="Y32:AD32"/>
    <mergeCell ref="Y33:AD33"/>
    <mergeCell ref="AE33:AF33"/>
    <mergeCell ref="Y34:AD34"/>
    <mergeCell ref="C38:H38"/>
    <mergeCell ref="C39:H39"/>
    <mergeCell ref="C32:H32"/>
    <mergeCell ref="N32:S32"/>
    <mergeCell ref="N33:S33"/>
    <mergeCell ref="N34:S34"/>
    <mergeCell ref="N35:S35"/>
    <mergeCell ref="N36:S36"/>
    <mergeCell ref="N37:S37"/>
    <mergeCell ref="I35:K35"/>
    <mergeCell ref="I36:K36"/>
    <mergeCell ref="I37:K37"/>
    <mergeCell ref="I38:K38"/>
    <mergeCell ref="I39:K39"/>
    <mergeCell ref="C33:H33"/>
    <mergeCell ref="C34:H34"/>
    <mergeCell ref="C35:H35"/>
    <mergeCell ref="C36:H36"/>
    <mergeCell ref="C37:H37"/>
    <mergeCell ref="Y21:AD21"/>
    <mergeCell ref="C21:H21"/>
    <mergeCell ref="I33:K33"/>
    <mergeCell ref="I34:K34"/>
    <mergeCell ref="T33:V33"/>
    <mergeCell ref="T34:V34"/>
    <mergeCell ref="T30:V30"/>
    <mergeCell ref="Y27:AD27"/>
    <mergeCell ref="Y28:AD28"/>
    <mergeCell ref="Y29:AD29"/>
    <mergeCell ref="Y30:AD30"/>
    <mergeCell ref="C30:H30"/>
    <mergeCell ref="I28:K28"/>
    <mergeCell ref="I29:K29"/>
    <mergeCell ref="I30:K30"/>
    <mergeCell ref="N27:S27"/>
    <mergeCell ref="N28:S28"/>
    <mergeCell ref="N29:S29"/>
    <mergeCell ref="N30:S30"/>
    <mergeCell ref="C27:H27"/>
    <mergeCell ref="C28:H28"/>
    <mergeCell ref="C29:H29"/>
    <mergeCell ref="T28:V28"/>
    <mergeCell ref="T29:V29"/>
    <mergeCell ref="N21:T21"/>
    <mergeCell ref="AE22:AF22"/>
    <mergeCell ref="AE23:AF23"/>
    <mergeCell ref="AE24:AF24"/>
    <mergeCell ref="AE25:AF25"/>
    <mergeCell ref="C25:H25"/>
    <mergeCell ref="I25:K25"/>
    <mergeCell ref="U24:V24"/>
    <mergeCell ref="U25:V25"/>
    <mergeCell ref="Y22:AD22"/>
    <mergeCell ref="Y23:AD23"/>
    <mergeCell ref="Y24:AD24"/>
    <mergeCell ref="Y25:AD25"/>
    <mergeCell ref="N22:T22"/>
    <mergeCell ref="N23:T23"/>
    <mergeCell ref="N24:T24"/>
    <mergeCell ref="N25:T25"/>
    <mergeCell ref="U22:V22"/>
    <mergeCell ref="U23:V23"/>
    <mergeCell ref="I22:K22"/>
    <mergeCell ref="I23:K23"/>
    <mergeCell ref="I24:K24"/>
    <mergeCell ref="C24:H24"/>
    <mergeCell ref="C22:H22"/>
    <mergeCell ref="C23:H23"/>
    <mergeCell ref="K13:Q13"/>
    <mergeCell ref="K14:Q14"/>
    <mergeCell ref="K15:Q15"/>
    <mergeCell ref="K16:Q16"/>
    <mergeCell ref="K17:Q17"/>
    <mergeCell ref="R13:T13"/>
    <mergeCell ref="R14:T14"/>
    <mergeCell ref="R15:T15"/>
    <mergeCell ref="R16:T16"/>
    <mergeCell ref="R17:T17"/>
    <mergeCell ref="C13:F13"/>
    <mergeCell ref="G13:H13"/>
    <mergeCell ref="G14:H14"/>
    <mergeCell ref="G15:H15"/>
    <mergeCell ref="G16:H16"/>
    <mergeCell ref="G17:H17"/>
    <mergeCell ref="AG5:AH5"/>
    <mergeCell ref="C6:I6"/>
    <mergeCell ref="K6:Q6"/>
    <mergeCell ref="S6:Z6"/>
    <mergeCell ref="AB6:AH6"/>
    <mergeCell ref="C5:G5"/>
    <mergeCell ref="H5:I5"/>
    <mergeCell ref="K5:O5"/>
    <mergeCell ref="P5:Q5"/>
    <mergeCell ref="S5:X5"/>
    <mergeCell ref="Y5:Z5"/>
    <mergeCell ref="AB5:AF5"/>
    <mergeCell ref="S2:X2"/>
    <mergeCell ref="Y2:Z2"/>
    <mergeCell ref="S3:Z3"/>
    <mergeCell ref="H2:I2"/>
    <mergeCell ref="C2:G2"/>
    <mergeCell ref="C3:I3"/>
    <mergeCell ref="K2:O2"/>
    <mergeCell ref="P2:Q2"/>
    <mergeCell ref="K3:Q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15CF5-930E-4D3B-AA38-350D51374C9A}">
  <dimension ref="B2:Z234"/>
  <sheetViews>
    <sheetView topLeftCell="A196" workbookViewId="0">
      <selection activeCell="I45" sqref="I45"/>
    </sheetView>
  </sheetViews>
  <sheetFormatPr baseColWidth="10" defaultRowHeight="14.5" x14ac:dyDescent="0.35"/>
  <cols>
    <col min="2" max="2" width="7.81640625" bestFit="1" customWidth="1"/>
    <col min="3" max="3" width="10.08984375" bestFit="1" customWidth="1"/>
    <col min="4" max="4" width="19.90625" bestFit="1" customWidth="1"/>
    <col min="5" max="5" width="22.7265625" bestFit="1" customWidth="1"/>
    <col min="6" max="6" width="11.26953125" bestFit="1" customWidth="1"/>
    <col min="8" max="8" width="12.81640625" bestFit="1" customWidth="1"/>
  </cols>
  <sheetData>
    <row r="2" spans="2:26" x14ac:dyDescent="0.35">
      <c r="B2" s="105" t="s">
        <v>24</v>
      </c>
      <c r="C2" s="105"/>
    </row>
    <row r="3" spans="2:26" x14ac:dyDescent="0.35">
      <c r="B3" s="49">
        <v>1000</v>
      </c>
      <c r="C3" s="49">
        <v>1.1000000000000001</v>
      </c>
    </row>
    <row r="4" spans="2:26" x14ac:dyDescent="0.35">
      <c r="B4" s="49">
        <v>1500</v>
      </c>
      <c r="C4" s="49">
        <v>1.2</v>
      </c>
    </row>
    <row r="5" spans="2:26" x14ac:dyDescent="0.35">
      <c r="B5" s="49">
        <v>2000</v>
      </c>
      <c r="C5" s="49">
        <v>1.3</v>
      </c>
    </row>
    <row r="6" spans="2:26" x14ac:dyDescent="0.35">
      <c r="B6" s="49">
        <v>2500</v>
      </c>
      <c r="C6" s="49">
        <v>1.5</v>
      </c>
    </row>
    <row r="7" spans="2:26" x14ac:dyDescent="0.35">
      <c r="B7" s="49">
        <v>3000</v>
      </c>
      <c r="C7" s="49">
        <v>1.8</v>
      </c>
    </row>
    <row r="8" spans="2:26" x14ac:dyDescent="0.35">
      <c r="B8" s="49">
        <v>3500</v>
      </c>
      <c r="C8" s="49">
        <v>2.2000000000000002</v>
      </c>
    </row>
    <row r="9" spans="2:26" x14ac:dyDescent="0.35">
      <c r="B9" s="49">
        <v>4000</v>
      </c>
      <c r="C9" s="49">
        <v>2.2999999999999998</v>
      </c>
    </row>
    <row r="10" spans="2:26" x14ac:dyDescent="0.35">
      <c r="B10" s="49">
        <v>4500</v>
      </c>
      <c r="C10" s="49">
        <v>2.5</v>
      </c>
    </row>
    <row r="13" spans="2:26" x14ac:dyDescent="0.35">
      <c r="K13">
        <v>1</v>
      </c>
      <c r="N13">
        <v>2</v>
      </c>
      <c r="Q13">
        <v>4</v>
      </c>
      <c r="T13">
        <v>9</v>
      </c>
      <c r="W13">
        <v>13</v>
      </c>
      <c r="Z13" s="12">
        <v>20</v>
      </c>
    </row>
    <row r="14" spans="2:26" x14ac:dyDescent="0.35">
      <c r="B14" s="1" t="s">
        <v>4</v>
      </c>
      <c r="C14" s="1" t="s">
        <v>5</v>
      </c>
      <c r="D14" s="1" t="s">
        <v>6</v>
      </c>
      <c r="E14" s="1" t="s">
        <v>7</v>
      </c>
      <c r="F14" s="1" t="s">
        <v>8</v>
      </c>
      <c r="G14" s="1" t="s">
        <v>9</v>
      </c>
      <c r="H14" s="1" t="s">
        <v>10</v>
      </c>
      <c r="J14" s="1" t="s">
        <v>4</v>
      </c>
      <c r="K14" s="1" t="s">
        <v>5</v>
      </c>
      <c r="M14" s="1" t="s">
        <v>4</v>
      </c>
      <c r="N14" s="1" t="s">
        <v>5</v>
      </c>
      <c r="P14" s="1" t="s">
        <v>4</v>
      </c>
      <c r="Q14" s="1" t="s">
        <v>5</v>
      </c>
      <c r="S14" s="1" t="s">
        <v>4</v>
      </c>
      <c r="T14" s="1" t="s">
        <v>5</v>
      </c>
      <c r="V14" s="1" t="s">
        <v>4</v>
      </c>
      <c r="W14" s="1" t="s">
        <v>5</v>
      </c>
      <c r="Y14" s="1" t="s">
        <v>4</v>
      </c>
      <c r="Z14" s="14" t="s">
        <v>5</v>
      </c>
    </row>
    <row r="15" spans="2:26" x14ac:dyDescent="0.35">
      <c r="B15" s="1">
        <v>1</v>
      </c>
      <c r="C15" s="5">
        <f ca="1">CHOOSE(
MATCH($C$23,{1;2;4;9;13;20},0),
$K15,
$N15,
$Q15,
$T15,
$W15,
$Z15
)</f>
        <v>1</v>
      </c>
      <c r="D15" s="2">
        <f ca="1">C15^2</f>
        <v>1</v>
      </c>
      <c r="E15" s="2">
        <f>B15^2</f>
        <v>1</v>
      </c>
      <c r="F15" s="2">
        <f ca="1">D15*E15</f>
        <v>1</v>
      </c>
      <c r="G15" s="2">
        <f>B15^0.8</f>
        <v>1</v>
      </c>
      <c r="H15" s="2">
        <f ca="1">D15*G15</f>
        <v>1</v>
      </c>
      <c r="J15" s="1">
        <v>1</v>
      </c>
      <c r="K15" s="5">
        <v>1</v>
      </c>
      <c r="M15" s="1">
        <v>1</v>
      </c>
      <c r="N15" s="5">
        <v>1</v>
      </c>
      <c r="P15" s="1">
        <v>1</v>
      </c>
      <c r="Q15" s="5">
        <v>1</v>
      </c>
      <c r="S15" s="1">
        <v>1</v>
      </c>
      <c r="T15" s="5">
        <v>1</v>
      </c>
      <c r="V15" s="1">
        <v>1</v>
      </c>
      <c r="W15" s="5">
        <v>1</v>
      </c>
      <c r="Y15" s="1">
        <v>1</v>
      </c>
      <c r="Z15" s="15">
        <v>1</v>
      </c>
    </row>
    <row r="16" spans="2:26" x14ac:dyDescent="0.35">
      <c r="B16" s="1">
        <v>3</v>
      </c>
      <c r="C16" s="5">
        <f ca="1">CHOOSE(
MATCH($C$23,{1;2;4;9;13;20},0),
$K16,
$N16,
$Q16,
$T16,
$W16,
$Z16
)</f>
        <v>0</v>
      </c>
      <c r="D16" s="2">
        <f t="shared" ref="D16:D39" ca="1" si="0">C16^2</f>
        <v>0</v>
      </c>
      <c r="E16" s="2">
        <f t="shared" ref="E16:E39" si="1">B16^2</f>
        <v>9</v>
      </c>
      <c r="F16" s="2">
        <f t="shared" ref="F16:F39" ca="1" si="2">D16*E16</f>
        <v>0</v>
      </c>
      <c r="G16" s="2">
        <f t="shared" ref="G16:G27" si="3">B16^0.8</f>
        <v>2.4082246852806923</v>
      </c>
      <c r="H16" s="2">
        <f t="shared" ref="H16:H39" ca="1" si="4">D16*G16</f>
        <v>0</v>
      </c>
      <c r="J16" s="1">
        <v>3</v>
      </c>
      <c r="K16" s="5">
        <v>0</v>
      </c>
      <c r="M16" s="1">
        <v>3</v>
      </c>
      <c r="N16" s="5">
        <v>0</v>
      </c>
      <c r="P16" s="1">
        <v>3</v>
      </c>
      <c r="Q16" s="5">
        <v>0</v>
      </c>
      <c r="S16" s="1">
        <v>3</v>
      </c>
      <c r="T16" s="5">
        <v>0</v>
      </c>
      <c r="V16" s="1">
        <v>3</v>
      </c>
      <c r="W16" s="5">
        <v>0</v>
      </c>
      <c r="Y16" s="1">
        <v>3</v>
      </c>
      <c r="Z16" s="15">
        <v>0</v>
      </c>
    </row>
    <row r="17" spans="2:26" x14ac:dyDescent="0.35">
      <c r="B17" s="1">
        <v>5</v>
      </c>
      <c r="C17" s="5">
        <f ca="1">CHOOSE(
MATCH($C$23,{1;2;4;9;13;20},0),
$K17,
$N17,
$Q17,
$T17,
$W17,
$Z17
)</f>
        <v>0.2</v>
      </c>
      <c r="D17" s="2">
        <f ca="1">C17^2</f>
        <v>4.0000000000000008E-2</v>
      </c>
      <c r="E17" s="2">
        <f t="shared" si="1"/>
        <v>25</v>
      </c>
      <c r="F17" s="2">
        <f t="shared" ca="1" si="2"/>
        <v>1.0000000000000002</v>
      </c>
      <c r="G17" s="2">
        <f>B17^0.8</f>
        <v>3.6238983183884779</v>
      </c>
      <c r="H17" s="2">
        <f ca="1">D17*G17</f>
        <v>0.14495593273553914</v>
      </c>
      <c r="J17" s="1">
        <v>5</v>
      </c>
      <c r="K17" s="5">
        <v>0</v>
      </c>
      <c r="M17" s="1">
        <v>5</v>
      </c>
      <c r="N17" s="5">
        <v>0.2</v>
      </c>
      <c r="P17" s="1">
        <v>5</v>
      </c>
      <c r="Q17" s="5">
        <v>0.22</v>
      </c>
      <c r="S17" s="1">
        <v>5</v>
      </c>
      <c r="T17" s="5">
        <v>0.3</v>
      </c>
      <c r="V17" s="1">
        <v>5</v>
      </c>
      <c r="W17" s="5">
        <v>0.6</v>
      </c>
      <c r="Y17" s="1">
        <v>5</v>
      </c>
      <c r="Z17" s="15">
        <v>0.65</v>
      </c>
    </row>
    <row r="18" spans="2:26" x14ac:dyDescent="0.35">
      <c r="B18" s="1">
        <v>7</v>
      </c>
      <c r="C18" s="5">
        <f ca="1">CHOOSE(
MATCH($C$23,{1;2;4;9;13;20},0),
$K18,
$N18,
$Q18,
$T18,
$W18,
$Z18
)</f>
        <v>0.13</v>
      </c>
      <c r="D18" s="2">
        <f t="shared" ca="1" si="0"/>
        <v>1.6900000000000002E-2</v>
      </c>
      <c r="E18" s="2">
        <f t="shared" si="1"/>
        <v>49</v>
      </c>
      <c r="F18" s="2">
        <f t="shared" ca="1" si="2"/>
        <v>0.82810000000000006</v>
      </c>
      <c r="G18" s="2">
        <f t="shared" si="3"/>
        <v>4.7432763938033666</v>
      </c>
      <c r="H18" s="2">
        <f t="shared" ca="1" si="4"/>
        <v>8.0161371055276903E-2</v>
      </c>
      <c r="J18" s="1">
        <v>7</v>
      </c>
      <c r="K18" s="5">
        <v>0</v>
      </c>
      <c r="M18" s="1">
        <v>7</v>
      </c>
      <c r="N18" s="5">
        <v>0.13</v>
      </c>
      <c r="P18" s="1">
        <v>7</v>
      </c>
      <c r="Q18" s="5">
        <v>0.15</v>
      </c>
      <c r="S18" s="1">
        <v>7</v>
      </c>
      <c r="T18" s="5">
        <v>0.13</v>
      </c>
      <c r="V18" s="1">
        <v>7</v>
      </c>
      <c r="W18" s="5">
        <v>0.13</v>
      </c>
      <c r="Y18" s="1">
        <v>7</v>
      </c>
      <c r="Z18" s="15">
        <v>0.11</v>
      </c>
    </row>
    <row r="19" spans="2:26" x14ac:dyDescent="0.35">
      <c r="B19" s="1">
        <v>9</v>
      </c>
      <c r="C19" s="5">
        <f ca="1">CHOOSE(
MATCH($C$23,{1;2;4;9;13;20},0),
$K19,
$N19,
$Q19,
$T19,
$W19,
$Z19
)</f>
        <v>0</v>
      </c>
      <c r="D19" s="2">
        <f t="shared" ca="1" si="0"/>
        <v>0</v>
      </c>
      <c r="E19" s="2">
        <f t="shared" si="1"/>
        <v>81</v>
      </c>
      <c r="F19" s="2">
        <f t="shared" ca="1" si="2"/>
        <v>0</v>
      </c>
      <c r="G19" s="2">
        <f t="shared" si="3"/>
        <v>5.7995461347952899</v>
      </c>
      <c r="H19" s="2">
        <f t="shared" ca="1" si="4"/>
        <v>0</v>
      </c>
      <c r="J19" s="1">
        <v>9</v>
      </c>
      <c r="K19" s="5">
        <v>0</v>
      </c>
      <c r="M19" s="1">
        <v>9</v>
      </c>
      <c r="N19" s="5">
        <v>0</v>
      </c>
      <c r="P19" s="1">
        <v>9</v>
      </c>
      <c r="Q19" s="5">
        <v>0</v>
      </c>
      <c r="S19" s="1">
        <v>9</v>
      </c>
      <c r="T19" s="5">
        <v>0</v>
      </c>
      <c r="V19" s="1">
        <v>9</v>
      </c>
      <c r="W19" s="5">
        <v>0</v>
      </c>
      <c r="Y19" s="1">
        <v>9</v>
      </c>
      <c r="Z19" s="15">
        <v>0</v>
      </c>
    </row>
    <row r="20" spans="2:26" x14ac:dyDescent="0.35">
      <c r="B20" s="1">
        <v>11</v>
      </c>
      <c r="C20" s="5">
        <f ca="1">CHOOSE(
MATCH($C$23,{1;2;4;9;13;20},0),
$K20,
$N20,
$Q20,
$T20,
$W20,
$Z20
)</f>
        <v>7.0000000000000007E-2</v>
      </c>
      <c r="D20" s="2">
        <f t="shared" ca="1" si="0"/>
        <v>4.9000000000000007E-3</v>
      </c>
      <c r="E20" s="2">
        <f t="shared" si="1"/>
        <v>121</v>
      </c>
      <c r="F20" s="2">
        <f t="shared" ca="1" si="2"/>
        <v>0.59290000000000009</v>
      </c>
      <c r="G20" s="2">
        <f t="shared" si="3"/>
        <v>6.8094831275223022</v>
      </c>
      <c r="H20" s="2">
        <f t="shared" ca="1" si="4"/>
        <v>3.3366467324859289E-2</v>
      </c>
      <c r="J20" s="1">
        <v>11</v>
      </c>
      <c r="K20" s="5">
        <v>0</v>
      </c>
      <c r="M20" s="1">
        <v>11</v>
      </c>
      <c r="N20" s="5">
        <v>7.0000000000000007E-2</v>
      </c>
      <c r="P20" s="1">
        <v>11</v>
      </c>
      <c r="Q20" s="5">
        <v>0.01</v>
      </c>
      <c r="S20" s="1">
        <v>11</v>
      </c>
      <c r="T20" s="5">
        <v>7.0000000000000007E-2</v>
      </c>
      <c r="V20" s="1">
        <v>11</v>
      </c>
      <c r="W20" s="5">
        <v>0.8</v>
      </c>
      <c r="Y20" s="1">
        <v>11</v>
      </c>
      <c r="Z20" s="15">
        <v>7.0000000000000007E-2</v>
      </c>
    </row>
    <row r="21" spans="2:26" x14ac:dyDescent="0.35">
      <c r="B21" s="1">
        <v>13</v>
      </c>
      <c r="C21" s="5">
        <f ca="1">CHOOSE(
MATCH($C$23,{1;2;4;9;13;20},0),
$K21,
$N21,
$Q21,
$T21,
$W21,
$Z21
)</f>
        <v>0.05</v>
      </c>
      <c r="D21" s="2">
        <f t="shared" ca="1" si="0"/>
        <v>2.5000000000000005E-3</v>
      </c>
      <c r="E21" s="2">
        <f t="shared" si="1"/>
        <v>169</v>
      </c>
      <c r="F21" s="2">
        <f t="shared" ca="1" si="2"/>
        <v>0.4225000000000001</v>
      </c>
      <c r="G21" s="2">
        <f t="shared" si="3"/>
        <v>7.7831371220394709</v>
      </c>
      <c r="H21" s="2">
        <f t="shared" ca="1" si="4"/>
        <v>1.9457842805098682E-2</v>
      </c>
      <c r="J21" s="1">
        <v>13</v>
      </c>
      <c r="K21" s="5">
        <v>0</v>
      </c>
      <c r="M21" s="1">
        <v>13</v>
      </c>
      <c r="N21" s="5">
        <v>0.05</v>
      </c>
      <c r="P21" s="1">
        <v>13</v>
      </c>
      <c r="Q21" s="5">
        <v>0.06</v>
      </c>
      <c r="S21" s="1">
        <v>13</v>
      </c>
      <c r="T21" s="5">
        <v>0.06</v>
      </c>
      <c r="V21" s="1">
        <v>13</v>
      </c>
      <c r="W21" s="5">
        <v>0.05</v>
      </c>
      <c r="Y21" s="1">
        <v>13</v>
      </c>
      <c r="Z21" s="15">
        <v>0.05</v>
      </c>
    </row>
    <row r="22" spans="2:26" x14ac:dyDescent="0.35">
      <c r="B22" s="1">
        <v>15</v>
      </c>
      <c r="C22" s="5">
        <f ca="1">CHOOSE(
MATCH($C$23,{1;2;4;9;13;20},0),
$K22,
$N22,
$Q22,
$T22,
$W22,
$Z22
)</f>
        <v>0</v>
      </c>
      <c r="D22" s="2">
        <f t="shared" ca="1" si="0"/>
        <v>0</v>
      </c>
      <c r="E22" s="2">
        <f t="shared" si="1"/>
        <v>225</v>
      </c>
      <c r="F22" s="2">
        <f t="shared" ca="1" si="2"/>
        <v>0</v>
      </c>
      <c r="G22" s="2">
        <f t="shared" si="3"/>
        <v>8.7271613872903213</v>
      </c>
      <c r="H22" s="2">
        <f t="shared" ca="1" si="4"/>
        <v>0</v>
      </c>
      <c r="J22" s="1">
        <v>15</v>
      </c>
      <c r="K22" s="5">
        <v>0</v>
      </c>
      <c r="M22" s="1">
        <v>15</v>
      </c>
      <c r="N22" s="5">
        <v>0</v>
      </c>
      <c r="P22" s="1">
        <v>15</v>
      </c>
      <c r="Q22" s="5">
        <v>0</v>
      </c>
      <c r="S22" s="1">
        <v>15</v>
      </c>
      <c r="T22" s="5">
        <v>0</v>
      </c>
      <c r="V22" s="1">
        <v>15</v>
      </c>
      <c r="W22" s="5">
        <v>0</v>
      </c>
      <c r="Y22" s="1">
        <v>15</v>
      </c>
      <c r="Z22" s="15">
        <v>0</v>
      </c>
    </row>
    <row r="23" spans="2:26" x14ac:dyDescent="0.35">
      <c r="B23" s="1">
        <v>17</v>
      </c>
      <c r="C23" s="5">
        <f ca="1">CHOOSE(
MATCH($C$23,{1;2;4;9;13;20},0),
$K23,
$N23,
$Q23,
$T23,
$W23,
$Z23
)</f>
        <v>0.03</v>
      </c>
      <c r="D23" s="2">
        <f t="shared" ca="1" si="0"/>
        <v>8.9999999999999998E-4</v>
      </c>
      <c r="E23" s="2">
        <f t="shared" si="1"/>
        <v>289</v>
      </c>
      <c r="F23" s="2">
        <f t="shared" ca="1" si="2"/>
        <v>0.2601</v>
      </c>
      <c r="G23" s="2">
        <f t="shared" si="3"/>
        <v>9.6462638564168639</v>
      </c>
      <c r="H23" s="2">
        <f t="shared" ca="1" si="4"/>
        <v>8.6816374707751765E-3</v>
      </c>
      <c r="J23" s="1">
        <v>17</v>
      </c>
      <c r="K23" s="5">
        <v>0</v>
      </c>
      <c r="M23" s="1">
        <v>17</v>
      </c>
      <c r="N23" s="5">
        <v>0.03</v>
      </c>
      <c r="P23" s="1">
        <v>17</v>
      </c>
      <c r="Q23" s="5">
        <v>0.05</v>
      </c>
      <c r="S23" s="1">
        <v>17</v>
      </c>
      <c r="T23" s="5">
        <v>0.03</v>
      </c>
      <c r="V23" s="1">
        <v>17</v>
      </c>
      <c r="W23" s="5">
        <v>0.03</v>
      </c>
      <c r="Y23" s="1">
        <v>17</v>
      </c>
      <c r="Z23" s="15">
        <v>0.03</v>
      </c>
    </row>
    <row r="24" spans="2:26" x14ac:dyDescent="0.35">
      <c r="B24" s="1">
        <v>19</v>
      </c>
      <c r="C24" s="5">
        <f ca="1">CHOOSE(
MATCH($C$23,{1;2;4;9;13;20},0),
$K24,
$N24,
$Q24,
$T24,
$W24,
$Z24
)</f>
        <v>0.02</v>
      </c>
      <c r="D24" s="2">
        <f t="shared" ca="1" si="0"/>
        <v>4.0000000000000002E-4</v>
      </c>
      <c r="E24" s="2">
        <f t="shared" si="1"/>
        <v>361</v>
      </c>
      <c r="F24" s="2">
        <f t="shared" ca="1" si="2"/>
        <v>0.1444</v>
      </c>
      <c r="G24" s="2">
        <f t="shared" si="3"/>
        <v>10.543938903738731</v>
      </c>
      <c r="H24" s="2">
        <f t="shared" ca="1" si="4"/>
        <v>4.2175755614954928E-3</v>
      </c>
      <c r="J24" s="1">
        <v>19</v>
      </c>
      <c r="K24" s="5">
        <v>0</v>
      </c>
      <c r="M24" s="1">
        <v>19</v>
      </c>
      <c r="N24" s="5">
        <v>0.02</v>
      </c>
      <c r="P24" s="1">
        <v>19</v>
      </c>
      <c r="Q24" s="5">
        <v>0.02</v>
      </c>
      <c r="S24" s="1">
        <v>19</v>
      </c>
      <c r="T24" s="5">
        <v>0.02</v>
      </c>
      <c r="V24" s="1">
        <v>19</v>
      </c>
      <c r="W24" s="5">
        <v>0.02</v>
      </c>
      <c r="Y24" s="1">
        <v>19</v>
      </c>
      <c r="Z24" s="15">
        <v>0.02</v>
      </c>
    </row>
    <row r="25" spans="2:26" x14ac:dyDescent="0.35">
      <c r="B25" s="1">
        <v>21</v>
      </c>
      <c r="C25" s="5">
        <f ca="1">CHOOSE(
MATCH($C$23,{1;2;4;9;13;20},0),
$K25,
$N25,
$Q25,
$T25,
$W25,
$Z25
)</f>
        <v>0</v>
      </c>
      <c r="D25" s="2">
        <f t="shared" ca="1" si="0"/>
        <v>0</v>
      </c>
      <c r="E25" s="2">
        <f t="shared" si="1"/>
        <v>441</v>
      </c>
      <c r="F25" s="2">
        <f t="shared" ca="1" si="2"/>
        <v>0</v>
      </c>
      <c r="G25" s="2">
        <f t="shared" si="3"/>
        <v>11.422875300666449</v>
      </c>
      <c r="H25" s="2">
        <f t="shared" ca="1" si="4"/>
        <v>0</v>
      </c>
      <c r="J25" s="1">
        <v>21</v>
      </c>
      <c r="K25" s="5">
        <v>0</v>
      </c>
      <c r="M25" s="1">
        <v>21</v>
      </c>
      <c r="N25" s="5">
        <v>0</v>
      </c>
      <c r="P25" s="1">
        <v>21</v>
      </c>
      <c r="Q25" s="5">
        <v>0</v>
      </c>
      <c r="S25" s="1">
        <v>21</v>
      </c>
      <c r="T25" s="5">
        <v>0</v>
      </c>
      <c r="V25" s="1">
        <v>21</v>
      </c>
      <c r="W25" s="5">
        <v>0</v>
      </c>
      <c r="Y25" s="1">
        <v>21</v>
      </c>
      <c r="Z25" s="15">
        <v>0</v>
      </c>
    </row>
    <row r="26" spans="2:26" x14ac:dyDescent="0.35">
      <c r="B26" s="1">
        <v>23</v>
      </c>
      <c r="C26" s="5">
        <f ca="1">CHOOSE(
MATCH($C$23,{1;2;4;9;13;20},0),
$K26,
$N26,
$Q26,
$T26,
$W26,
$Z26
)</f>
        <v>0.01</v>
      </c>
      <c r="D26" s="2">
        <f t="shared" ca="1" si="0"/>
        <v>1E-4</v>
      </c>
      <c r="E26" s="2">
        <f t="shared" si="1"/>
        <v>529</v>
      </c>
      <c r="F26" s="2">
        <f t="shared" ca="1" si="2"/>
        <v>5.2900000000000003E-2</v>
      </c>
      <c r="G26" s="2">
        <f t="shared" si="3"/>
        <v>12.285201067417038</v>
      </c>
      <c r="H26" s="2">
        <f t="shared" ca="1" si="4"/>
        <v>1.2285201067417039E-3</v>
      </c>
      <c r="J26" s="1">
        <v>23</v>
      </c>
      <c r="K26" s="5">
        <v>0</v>
      </c>
      <c r="M26" s="1">
        <v>23</v>
      </c>
      <c r="N26" s="5">
        <v>0.01</v>
      </c>
      <c r="P26" s="1">
        <v>23</v>
      </c>
      <c r="Q26" s="5">
        <v>0.01</v>
      </c>
      <c r="S26" s="1">
        <v>23</v>
      </c>
      <c r="T26" s="5">
        <v>0.01</v>
      </c>
      <c r="V26" s="1">
        <v>23</v>
      </c>
      <c r="W26" s="5">
        <v>0.01</v>
      </c>
      <c r="Y26" s="1">
        <v>23</v>
      </c>
      <c r="Z26" s="15">
        <v>0.01</v>
      </c>
    </row>
    <row r="27" spans="2:26" x14ac:dyDescent="0.35">
      <c r="B27" s="1">
        <v>25</v>
      </c>
      <c r="C27" s="5">
        <f ca="1">CHOOSE(
MATCH($C$23,{1;2;4;9;13;20},0),
$K27,
$N27,
$Q27,
$T27,
$W27,
$Z27
)</f>
        <v>0.06</v>
      </c>
      <c r="D27" s="2">
        <f t="shared" ca="1" si="0"/>
        <v>3.5999999999999999E-3</v>
      </c>
      <c r="E27" s="2">
        <f t="shared" si="1"/>
        <v>625</v>
      </c>
      <c r="F27" s="2">
        <f t="shared" ca="1" si="2"/>
        <v>2.25</v>
      </c>
      <c r="G27" s="2">
        <f t="shared" si="3"/>
        <v>13.132639022018838</v>
      </c>
      <c r="H27" s="2">
        <f t="shared" ca="1" si="4"/>
        <v>4.7277500479267813E-2</v>
      </c>
      <c r="J27" s="1">
        <v>25</v>
      </c>
      <c r="K27" s="5">
        <v>0</v>
      </c>
      <c r="M27" s="1">
        <v>25</v>
      </c>
      <c r="N27" s="5">
        <v>0.06</v>
      </c>
      <c r="P27" s="1">
        <v>25</v>
      </c>
      <c r="Q27" s="5">
        <v>0.1</v>
      </c>
      <c r="S27" s="1">
        <v>25</v>
      </c>
      <c r="T27" s="5">
        <v>0.1</v>
      </c>
      <c r="V27" s="1">
        <v>25</v>
      </c>
      <c r="W27" s="5">
        <v>5.0000000000000001E-3</v>
      </c>
      <c r="Y27" s="1">
        <v>25</v>
      </c>
      <c r="Z27" s="15">
        <v>5.0000000000000001E-3</v>
      </c>
    </row>
    <row r="28" spans="2:26" x14ac:dyDescent="0.35">
      <c r="B28" s="1">
        <v>27</v>
      </c>
      <c r="C28" s="5">
        <f ca="1">CHOOSE(
MATCH($C$23,{1;2;4;9;13;20},0),
$K28,
$N28,
$Q28,
$T28,
$W28,
$Z28
)</f>
        <v>0</v>
      </c>
      <c r="D28" s="2">
        <f t="shared" ca="1" si="0"/>
        <v>0</v>
      </c>
      <c r="E28" s="2">
        <f t="shared" si="1"/>
        <v>729</v>
      </c>
      <c r="F28" s="2">
        <f t="shared" ca="1" si="2"/>
        <v>0</v>
      </c>
      <c r="G28" s="2">
        <f>B28^0.8</f>
        <v>13.966610165238238</v>
      </c>
      <c r="H28" s="2">
        <f t="shared" ca="1" si="4"/>
        <v>0</v>
      </c>
      <c r="J28" s="1">
        <v>27</v>
      </c>
      <c r="K28" s="5">
        <v>0</v>
      </c>
      <c r="M28" s="1">
        <v>27</v>
      </c>
      <c r="N28" s="5">
        <v>0</v>
      </c>
      <c r="P28" s="1">
        <v>27</v>
      </c>
      <c r="Q28" s="5">
        <v>0</v>
      </c>
      <c r="S28" s="1">
        <v>27</v>
      </c>
      <c r="T28" s="5">
        <v>0</v>
      </c>
      <c r="V28" s="1">
        <v>27</v>
      </c>
      <c r="W28" s="5">
        <v>0</v>
      </c>
      <c r="Y28" s="1">
        <v>27</v>
      </c>
      <c r="Z28" s="15">
        <v>0</v>
      </c>
    </row>
    <row r="29" spans="2:26" x14ac:dyDescent="0.35">
      <c r="B29" s="1">
        <v>29</v>
      </c>
      <c r="C29" s="5">
        <f ca="1">CHOOSE(
MATCH($C$23,{1;2;4;9;13;20},0),
$K29,
$N29,
$Q29,
$T29,
$W29,
$Z29
)</f>
        <v>0</v>
      </c>
      <c r="D29" s="2">
        <f t="shared" ca="1" si="0"/>
        <v>0</v>
      </c>
      <c r="E29" s="2">
        <f t="shared" si="1"/>
        <v>841</v>
      </c>
      <c r="F29" s="2">
        <f t="shared" ca="1" si="2"/>
        <v>0</v>
      </c>
      <c r="G29" s="2">
        <f t="shared" ref="G29:G39" si="5">B29^0.8</f>
        <v>14.788304974808694</v>
      </c>
      <c r="H29" s="2">
        <f t="shared" ca="1" si="4"/>
        <v>0</v>
      </c>
      <c r="J29" s="1">
        <v>29</v>
      </c>
      <c r="K29" s="5">
        <v>0</v>
      </c>
      <c r="M29" s="1">
        <v>29</v>
      </c>
      <c r="N29" s="5">
        <v>0</v>
      </c>
      <c r="P29" s="1">
        <v>29</v>
      </c>
      <c r="Q29" s="5">
        <v>0</v>
      </c>
      <c r="S29" s="1">
        <v>29</v>
      </c>
      <c r="T29" s="5">
        <v>0</v>
      </c>
      <c r="V29" s="1">
        <v>29</v>
      </c>
      <c r="W29" s="5">
        <v>0</v>
      </c>
      <c r="Y29" s="1">
        <v>29</v>
      </c>
      <c r="Z29" s="15">
        <v>0</v>
      </c>
    </row>
    <row r="30" spans="2:26" x14ac:dyDescent="0.35">
      <c r="B30" s="1">
        <v>31</v>
      </c>
      <c r="C30" s="5">
        <f ca="1">CHOOSE(
MATCH($C$23,{1;2;4;9;13;20},0),
$K30,
$N30,
$Q30,
$T30,
$W30,
$Z30
)</f>
        <v>0</v>
      </c>
      <c r="D30" s="2">
        <f t="shared" ca="1" si="0"/>
        <v>0</v>
      </c>
      <c r="E30" s="2">
        <f t="shared" si="1"/>
        <v>961</v>
      </c>
      <c r="F30" s="2">
        <f t="shared" ca="1" si="2"/>
        <v>0</v>
      </c>
      <c r="G30" s="2">
        <f t="shared" si="5"/>
        <v>15.598734100953935</v>
      </c>
      <c r="H30" s="2">
        <f t="shared" ca="1" si="4"/>
        <v>0</v>
      </c>
      <c r="J30" s="1">
        <v>31</v>
      </c>
      <c r="K30" s="5">
        <v>0</v>
      </c>
      <c r="M30" s="1">
        <v>31</v>
      </c>
      <c r="N30" s="5">
        <v>0</v>
      </c>
      <c r="P30" s="1">
        <v>31</v>
      </c>
      <c r="Q30" s="5">
        <v>0</v>
      </c>
      <c r="S30" s="1">
        <v>31</v>
      </c>
      <c r="T30" s="5">
        <v>0</v>
      </c>
      <c r="V30" s="1">
        <v>31</v>
      </c>
      <c r="W30" s="5">
        <v>0</v>
      </c>
      <c r="Y30" s="1">
        <v>31</v>
      </c>
      <c r="Z30" s="15">
        <v>0</v>
      </c>
    </row>
    <row r="31" spans="2:26" x14ac:dyDescent="0.35">
      <c r="B31" s="1">
        <v>33</v>
      </c>
      <c r="C31" s="5">
        <f ca="1">CHOOSE(
MATCH($C$23,{1;2;4;9;13;20},0),
$K31,
$N31,
$Q31,
$T31,
$W31,
$Z31
)</f>
        <v>0</v>
      </c>
      <c r="D31" s="2">
        <f t="shared" ca="1" si="0"/>
        <v>0</v>
      </c>
      <c r="E31" s="2">
        <f t="shared" si="1"/>
        <v>1089</v>
      </c>
      <c r="F31" s="2">
        <f t="shared" ca="1" si="2"/>
        <v>0</v>
      </c>
      <c r="G31" s="2">
        <f t="shared" si="5"/>
        <v>16.398765361701578</v>
      </c>
      <c r="H31" s="2">
        <f t="shared" ca="1" si="4"/>
        <v>0</v>
      </c>
      <c r="J31" s="1">
        <v>33</v>
      </c>
      <c r="K31" s="5">
        <v>0</v>
      </c>
      <c r="M31" s="1">
        <v>33</v>
      </c>
      <c r="N31" s="5">
        <v>0</v>
      </c>
      <c r="P31" s="1">
        <v>33</v>
      </c>
      <c r="Q31" s="5">
        <v>0</v>
      </c>
      <c r="S31" s="1">
        <v>33</v>
      </c>
      <c r="T31" s="5">
        <v>0</v>
      </c>
      <c r="V31" s="1">
        <v>33</v>
      </c>
      <c r="W31" s="5">
        <v>0</v>
      </c>
      <c r="Y31" s="1">
        <v>33</v>
      </c>
      <c r="Z31" s="15">
        <v>0</v>
      </c>
    </row>
    <row r="32" spans="2:26" x14ac:dyDescent="0.35">
      <c r="B32" s="1">
        <v>35</v>
      </c>
      <c r="C32" s="5">
        <f ca="1">CHOOSE(
MATCH($C$23,{1;2;4;9;13;20},0),
$K32,
$N32,
$Q32,
$T32,
$W32,
$Z32
)</f>
        <v>0</v>
      </c>
      <c r="D32" s="2">
        <f t="shared" ca="1" si="0"/>
        <v>0</v>
      </c>
      <c r="E32" s="2">
        <f t="shared" si="1"/>
        <v>1225</v>
      </c>
      <c r="F32" s="2">
        <f t="shared" ca="1" si="2"/>
        <v>0</v>
      </c>
      <c r="G32" s="2">
        <f t="shared" si="5"/>
        <v>17.189151347155786</v>
      </c>
      <c r="H32" s="2">
        <f t="shared" ca="1" si="4"/>
        <v>0</v>
      </c>
      <c r="J32" s="1">
        <v>35</v>
      </c>
      <c r="K32" s="5">
        <v>0</v>
      </c>
      <c r="M32" s="1">
        <v>35</v>
      </c>
      <c r="N32" s="5">
        <v>0</v>
      </c>
      <c r="P32" s="1">
        <v>35</v>
      </c>
      <c r="Q32" s="5">
        <v>0</v>
      </c>
      <c r="S32" s="1">
        <v>35</v>
      </c>
      <c r="T32" s="5">
        <v>0</v>
      </c>
      <c r="V32" s="1">
        <v>35</v>
      </c>
      <c r="W32" s="5">
        <v>0</v>
      </c>
      <c r="Y32" s="1">
        <v>35</v>
      </c>
      <c r="Z32" s="15">
        <v>0</v>
      </c>
    </row>
    <row r="33" spans="2:26" x14ac:dyDescent="0.35">
      <c r="B33" s="1">
        <v>37</v>
      </c>
      <c r="C33" s="5">
        <f ca="1">CHOOSE(
MATCH($C$23,{1;2;4;9;13;20},0),
$K33,
$N33,
$Q33,
$T33,
$W33,
$Z33
)</f>
        <v>0</v>
      </c>
      <c r="D33" s="2">
        <f t="shared" ca="1" si="0"/>
        <v>0</v>
      </c>
      <c r="E33" s="2">
        <f t="shared" si="1"/>
        <v>1369</v>
      </c>
      <c r="F33" s="2">
        <f t="shared" ca="1" si="2"/>
        <v>0</v>
      </c>
      <c r="G33" s="2">
        <f t="shared" si="5"/>
        <v>17.970550417308232</v>
      </c>
      <c r="H33" s="2">
        <f t="shared" ca="1" si="4"/>
        <v>0</v>
      </c>
      <c r="J33" s="1">
        <v>37</v>
      </c>
      <c r="K33" s="5">
        <v>0</v>
      </c>
      <c r="M33" s="1">
        <v>37</v>
      </c>
      <c r="N33" s="5">
        <v>0</v>
      </c>
      <c r="P33" s="1">
        <v>37</v>
      </c>
      <c r="Q33" s="5">
        <v>0</v>
      </c>
      <c r="S33" s="1">
        <v>37</v>
      </c>
      <c r="T33" s="5">
        <v>0</v>
      </c>
      <c r="V33" s="1">
        <v>37</v>
      </c>
      <c r="W33" s="5">
        <v>0</v>
      </c>
      <c r="Y33" s="1">
        <v>37</v>
      </c>
      <c r="Z33" s="15">
        <v>0</v>
      </c>
    </row>
    <row r="34" spans="2:26" x14ac:dyDescent="0.35">
      <c r="B34" s="1">
        <v>39</v>
      </c>
      <c r="C34" s="5">
        <f ca="1">CHOOSE(
MATCH($C$23,{1;2;4;9;13;20},0),
$K34,
$N34,
$Q34,
$T34,
$W34,
$Z34
)</f>
        <v>0</v>
      </c>
      <c r="D34" s="2">
        <f t="shared" ca="1" si="0"/>
        <v>0</v>
      </c>
      <c r="E34" s="2">
        <f t="shared" si="1"/>
        <v>1521</v>
      </c>
      <c r="F34" s="2">
        <f t="shared" ca="1" si="2"/>
        <v>0</v>
      </c>
      <c r="G34" s="2">
        <f t="shared" si="5"/>
        <v>18.743542946219979</v>
      </c>
      <c r="H34" s="2">
        <f t="shared" ca="1" si="4"/>
        <v>0</v>
      </c>
      <c r="J34" s="1">
        <v>39</v>
      </c>
      <c r="K34" s="5">
        <v>0</v>
      </c>
      <c r="M34" s="1">
        <v>39</v>
      </c>
      <c r="N34" s="5">
        <v>0</v>
      </c>
      <c r="P34" s="1">
        <v>39</v>
      </c>
      <c r="Q34" s="5">
        <v>0</v>
      </c>
      <c r="S34" s="1">
        <v>39</v>
      </c>
      <c r="T34" s="5">
        <v>0</v>
      </c>
      <c r="V34" s="1">
        <v>39</v>
      </c>
      <c r="W34" s="5">
        <v>0</v>
      </c>
      <c r="Y34" s="1">
        <v>39</v>
      </c>
      <c r="Z34" s="15">
        <v>0</v>
      </c>
    </row>
    <row r="35" spans="2:26" x14ac:dyDescent="0.35">
      <c r="B35" s="1">
        <v>41</v>
      </c>
      <c r="C35" s="5">
        <f ca="1">CHOOSE(
MATCH($C$23,{1;2;4;9;13;20},0),
$K35,
$N35,
$Q35,
$T35,
$W35,
$Z35
)</f>
        <v>0</v>
      </c>
      <c r="D35" s="2">
        <f t="shared" ca="1" si="0"/>
        <v>0</v>
      </c>
      <c r="E35" s="2">
        <f t="shared" si="1"/>
        <v>1681</v>
      </c>
      <c r="F35" s="2">
        <f t="shared" ca="1" si="2"/>
        <v>0</v>
      </c>
      <c r="G35" s="2">
        <f t="shared" si="5"/>
        <v>19.508644077311327</v>
      </c>
      <c r="H35" s="2">
        <f t="shared" ca="1" si="4"/>
        <v>0</v>
      </c>
      <c r="J35" s="1">
        <v>41</v>
      </c>
      <c r="K35" s="5">
        <v>0</v>
      </c>
      <c r="M35" s="1">
        <v>41</v>
      </c>
      <c r="N35" s="5">
        <v>0</v>
      </c>
      <c r="P35" s="1">
        <v>41</v>
      </c>
      <c r="Q35" s="5">
        <v>0</v>
      </c>
      <c r="S35" s="1">
        <v>41</v>
      </c>
      <c r="T35" s="5">
        <v>0</v>
      </c>
      <c r="V35" s="1">
        <v>41</v>
      </c>
      <c r="W35" s="5">
        <v>0</v>
      </c>
      <c r="Y35" s="1">
        <v>41</v>
      </c>
      <c r="Z35" s="15">
        <v>0</v>
      </c>
    </row>
    <row r="36" spans="2:26" x14ac:dyDescent="0.35">
      <c r="B36" s="1">
        <v>43</v>
      </c>
      <c r="C36" s="5">
        <f ca="1">CHOOSE(
MATCH($C$23,{1;2;4;9;13;20},0),
$K36,
$N36,
$Q36,
$T36,
$W36,
$Z36
)</f>
        <v>0</v>
      </c>
      <c r="D36" s="2">
        <f t="shared" ca="1" si="0"/>
        <v>0</v>
      </c>
      <c r="E36" s="2">
        <f t="shared" si="1"/>
        <v>1849</v>
      </c>
      <c r="F36" s="2">
        <f t="shared" ca="1" si="2"/>
        <v>0</v>
      </c>
      <c r="G36" s="2">
        <f t="shared" si="5"/>
        <v>20.266313872687675</v>
      </c>
      <c r="H36" s="2">
        <f t="shared" ca="1" si="4"/>
        <v>0</v>
      </c>
      <c r="J36" s="1">
        <v>43</v>
      </c>
      <c r="K36" s="5">
        <v>0</v>
      </c>
      <c r="M36" s="1">
        <v>43</v>
      </c>
      <c r="N36" s="5">
        <v>0</v>
      </c>
      <c r="P36" s="1">
        <v>43</v>
      </c>
      <c r="Q36" s="5">
        <v>0</v>
      </c>
      <c r="S36" s="1">
        <v>43</v>
      </c>
      <c r="T36" s="5">
        <v>0</v>
      </c>
      <c r="V36" s="1">
        <v>43</v>
      </c>
      <c r="W36" s="5">
        <v>0</v>
      </c>
      <c r="Y36" s="1">
        <v>43</v>
      </c>
      <c r="Z36" s="15">
        <v>0</v>
      </c>
    </row>
    <row r="37" spans="2:26" x14ac:dyDescent="0.35">
      <c r="B37" s="1">
        <v>45</v>
      </c>
      <c r="C37" s="5">
        <f ca="1">CHOOSE(
MATCH($C$23,{1;2;4;9;13;20},0),
$K37,
$N37,
$Q37,
$T37,
$W37,
$Z37
)</f>
        <v>0</v>
      </c>
      <c r="D37" s="2">
        <f t="shared" ca="1" si="0"/>
        <v>0</v>
      </c>
      <c r="E37" s="2">
        <f t="shared" si="1"/>
        <v>2025</v>
      </c>
      <c r="F37" s="2">
        <f t="shared" ca="1" si="2"/>
        <v>0</v>
      </c>
      <c r="G37" s="2">
        <f t="shared" si="5"/>
        <v>21.016965485301043</v>
      </c>
      <c r="H37" s="2">
        <f t="shared" ca="1" si="4"/>
        <v>0</v>
      </c>
      <c r="J37" s="1">
        <v>45</v>
      </c>
      <c r="K37" s="5">
        <v>0</v>
      </c>
      <c r="M37" s="1">
        <v>45</v>
      </c>
      <c r="N37" s="5">
        <v>0</v>
      </c>
      <c r="P37" s="1">
        <v>45</v>
      </c>
      <c r="Q37" s="5">
        <v>0</v>
      </c>
      <c r="S37" s="1">
        <v>45</v>
      </c>
      <c r="T37" s="5">
        <v>0</v>
      </c>
      <c r="V37" s="1">
        <v>45</v>
      </c>
      <c r="W37" s="5">
        <v>0</v>
      </c>
      <c r="Y37" s="1">
        <v>45</v>
      </c>
      <c r="Z37" s="15">
        <v>0</v>
      </c>
    </row>
    <row r="38" spans="2:26" x14ac:dyDescent="0.35">
      <c r="B38" s="1">
        <v>47</v>
      </c>
      <c r="C38" s="5">
        <f ca="1">CHOOSE(
MATCH($C$23,{1;2;4;9;13;20},0),
$K38,
$N38,
$Q38,
$T38,
$W38,
$Z38
)</f>
        <v>0</v>
      </c>
      <c r="D38" s="2">
        <f t="shared" ca="1" si="0"/>
        <v>0</v>
      </c>
      <c r="E38" s="2">
        <f t="shared" si="1"/>
        <v>2209</v>
      </c>
      <c r="F38" s="2">
        <f t="shared" ca="1" si="2"/>
        <v>0</v>
      </c>
      <c r="G38" s="2">
        <f t="shared" si="5"/>
        <v>21.760971809815491</v>
      </c>
      <c r="H38" s="2">
        <f t="shared" ca="1" si="4"/>
        <v>0</v>
      </c>
      <c r="J38" s="1">
        <v>47</v>
      </c>
      <c r="K38" s="5">
        <v>0</v>
      </c>
      <c r="M38" s="1">
        <v>47</v>
      </c>
      <c r="N38" s="5">
        <v>0</v>
      </c>
      <c r="P38" s="1">
        <v>47</v>
      </c>
      <c r="Q38" s="5">
        <v>0</v>
      </c>
      <c r="S38" s="1">
        <v>47</v>
      </c>
      <c r="T38" s="5">
        <v>0</v>
      </c>
      <c r="V38" s="1">
        <v>47</v>
      </c>
      <c r="W38" s="5">
        <v>0</v>
      </c>
      <c r="Y38" s="1">
        <v>47</v>
      </c>
      <c r="Z38" s="15">
        <v>0</v>
      </c>
    </row>
    <row r="39" spans="2:26" x14ac:dyDescent="0.35">
      <c r="B39" s="1">
        <v>49</v>
      </c>
      <c r="C39" s="5">
        <f ca="1">CHOOSE(
MATCH($C$23,{1;2;4;9;13;20},0),
$K39,
$N39,
$Q39,
$T39,
$W39,
$Z39
)</f>
        <v>0</v>
      </c>
      <c r="D39" s="2">
        <f t="shared" ca="1" si="0"/>
        <v>0</v>
      </c>
      <c r="E39" s="2">
        <f t="shared" si="1"/>
        <v>2401</v>
      </c>
      <c r="F39" s="2">
        <f t="shared" ca="1" si="2"/>
        <v>0</v>
      </c>
      <c r="G39" s="2">
        <f t="shared" si="5"/>
        <v>22.498670948012268</v>
      </c>
      <c r="H39" s="2">
        <f t="shared" ca="1" si="4"/>
        <v>0</v>
      </c>
      <c r="J39" s="1">
        <v>49</v>
      </c>
      <c r="K39" s="5">
        <v>0</v>
      </c>
      <c r="M39" s="1">
        <v>49</v>
      </c>
      <c r="N39" s="5">
        <v>0</v>
      </c>
      <c r="P39" s="1">
        <v>49</v>
      </c>
      <c r="Q39" s="5">
        <v>0</v>
      </c>
      <c r="S39" s="1">
        <v>49</v>
      </c>
      <c r="T39" s="5">
        <v>0</v>
      </c>
      <c r="V39" s="1">
        <v>49</v>
      </c>
      <c r="W39" s="5">
        <v>0</v>
      </c>
      <c r="Y39" s="1">
        <v>49</v>
      </c>
      <c r="Z39" s="15">
        <v>0</v>
      </c>
    </row>
    <row r="40" spans="2:26" x14ac:dyDescent="0.35">
      <c r="B40" s="43"/>
      <c r="C40" s="43"/>
      <c r="D40" s="3">
        <f ca="1">SUM(D15:D39)</f>
        <v>1.0692999999999997</v>
      </c>
      <c r="E40" s="43"/>
      <c r="F40" s="4">
        <f ca="1">SUM(F15:F39)</f>
        <v>6.5509000000000004</v>
      </c>
      <c r="G40" s="43"/>
      <c r="H40" s="3">
        <f ca="1">SUM(H15:H39)</f>
        <v>1.3393468475390542</v>
      </c>
      <c r="Z40" s="12"/>
    </row>
    <row r="44" spans="2:26" x14ac:dyDescent="0.35">
      <c r="B44" s="104" t="s">
        <v>117</v>
      </c>
      <c r="C44" s="104"/>
      <c r="D44" s="104"/>
      <c r="E44" s="104"/>
      <c r="F44" s="104"/>
      <c r="G44" s="104"/>
      <c r="H44" s="104"/>
    </row>
    <row r="45" spans="2:26" x14ac:dyDescent="0.35">
      <c r="B45" s="1" t="s">
        <v>110</v>
      </c>
      <c r="C45" s="1" t="s">
        <v>111</v>
      </c>
      <c r="D45" s="1" t="s">
        <v>112</v>
      </c>
      <c r="E45" s="1" t="s">
        <v>113</v>
      </c>
      <c r="F45" s="1" t="s">
        <v>114</v>
      </c>
      <c r="G45" s="1" t="s">
        <v>115</v>
      </c>
      <c r="H45" s="1" t="s">
        <v>116</v>
      </c>
      <c r="I45" s="159" t="s">
        <v>168</v>
      </c>
    </row>
    <row r="46" spans="2:26" x14ac:dyDescent="0.35">
      <c r="B46" s="57">
        <v>9</v>
      </c>
      <c r="C46" s="22">
        <v>0.4</v>
      </c>
      <c r="D46" s="22">
        <v>0.5</v>
      </c>
      <c r="E46" s="22">
        <v>0.6</v>
      </c>
      <c r="F46" s="22">
        <v>0.7</v>
      </c>
      <c r="G46" s="22">
        <v>0.02</v>
      </c>
      <c r="H46" s="22">
        <v>0.01</v>
      </c>
    </row>
    <row r="47" spans="2:26" x14ac:dyDescent="0.35">
      <c r="B47" s="57">
        <v>9.1</v>
      </c>
      <c r="C47" s="22">
        <v>0.41</v>
      </c>
      <c r="D47" s="22">
        <v>0.52</v>
      </c>
      <c r="E47" s="22">
        <v>0.61</v>
      </c>
      <c r="F47" s="22">
        <v>0.72</v>
      </c>
      <c r="G47" s="22">
        <v>0.03</v>
      </c>
      <c r="H47" s="22">
        <v>0.02</v>
      </c>
    </row>
    <row r="48" spans="2:26" x14ac:dyDescent="0.35">
      <c r="B48" s="57">
        <v>9.1999999999999993</v>
      </c>
      <c r="C48" s="22">
        <v>0.42</v>
      </c>
      <c r="D48" s="22">
        <v>0.54</v>
      </c>
      <c r="E48" s="22">
        <v>0.62</v>
      </c>
      <c r="F48" s="22">
        <v>0.74</v>
      </c>
      <c r="G48" s="22">
        <v>0.04</v>
      </c>
      <c r="H48" s="22">
        <v>0.03</v>
      </c>
    </row>
    <row r="49" spans="2:8" x14ac:dyDescent="0.35">
      <c r="B49" s="57">
        <v>9.3000000000000007</v>
      </c>
      <c r="C49" s="22">
        <v>0.43</v>
      </c>
      <c r="D49" s="22">
        <v>0.56000000000000005</v>
      </c>
      <c r="E49" s="22">
        <v>0.63</v>
      </c>
      <c r="F49" s="22">
        <v>0.76</v>
      </c>
      <c r="G49" s="22">
        <v>0.05</v>
      </c>
      <c r="H49" s="22">
        <v>0.04</v>
      </c>
    </row>
    <row r="50" spans="2:8" x14ac:dyDescent="0.35">
      <c r="B50" s="57">
        <v>9.4</v>
      </c>
      <c r="C50" s="22">
        <v>0.44</v>
      </c>
      <c r="D50" s="22">
        <v>0.57999999999999996</v>
      </c>
      <c r="E50" s="22">
        <v>0.64</v>
      </c>
      <c r="F50" s="22">
        <v>0.78</v>
      </c>
      <c r="G50" s="22">
        <v>0.06</v>
      </c>
      <c r="H50" s="22">
        <v>0.05</v>
      </c>
    </row>
    <row r="51" spans="2:8" x14ac:dyDescent="0.35">
      <c r="B51" s="57">
        <v>9.5</v>
      </c>
      <c r="C51" s="22">
        <v>0.45</v>
      </c>
      <c r="D51" s="22">
        <v>0.6</v>
      </c>
      <c r="E51" s="22">
        <v>0.65</v>
      </c>
      <c r="F51" s="22">
        <v>0.8</v>
      </c>
      <c r="G51" s="22">
        <v>7.0000000000000007E-2</v>
      </c>
      <c r="H51" s="22">
        <v>0.06</v>
      </c>
    </row>
    <row r="52" spans="2:8" x14ac:dyDescent="0.35">
      <c r="B52" s="57">
        <v>9.6</v>
      </c>
      <c r="C52" s="22">
        <v>0.46</v>
      </c>
      <c r="D52" s="22">
        <v>0.62</v>
      </c>
      <c r="E52" s="22">
        <v>0.66</v>
      </c>
      <c r="F52" s="22">
        <v>0.82</v>
      </c>
      <c r="G52" s="22">
        <v>0.08</v>
      </c>
      <c r="H52" s="22">
        <v>7.0000000000000007E-2</v>
      </c>
    </row>
    <row r="53" spans="2:8" x14ac:dyDescent="0.35">
      <c r="B53" s="57">
        <v>9.6999999999999993</v>
      </c>
      <c r="C53" s="22">
        <v>0.47</v>
      </c>
      <c r="D53" s="22">
        <v>0.64</v>
      </c>
      <c r="E53" s="22">
        <v>0.67</v>
      </c>
      <c r="F53" s="22">
        <v>0.84</v>
      </c>
      <c r="G53" s="22">
        <v>0.09</v>
      </c>
      <c r="H53" s="22">
        <v>0.08</v>
      </c>
    </row>
    <row r="54" spans="2:8" x14ac:dyDescent="0.35">
      <c r="B54" s="57">
        <v>9.8000000000000007</v>
      </c>
      <c r="C54" s="22">
        <v>0.48</v>
      </c>
      <c r="D54" s="22">
        <v>0.66</v>
      </c>
      <c r="E54" s="22">
        <v>0.68</v>
      </c>
      <c r="F54" s="22">
        <v>0.86</v>
      </c>
      <c r="G54" s="22">
        <v>0.1</v>
      </c>
      <c r="H54" s="22">
        <v>0.09</v>
      </c>
    </row>
    <row r="55" spans="2:8" x14ac:dyDescent="0.35">
      <c r="B55" s="57">
        <v>9.9</v>
      </c>
      <c r="C55" s="22">
        <v>0.49</v>
      </c>
      <c r="D55" s="22">
        <v>0.68</v>
      </c>
      <c r="E55" s="22">
        <v>0.69</v>
      </c>
      <c r="F55" s="22">
        <v>0.88</v>
      </c>
      <c r="G55" s="22">
        <v>0.11</v>
      </c>
      <c r="H55" s="22">
        <v>0.1</v>
      </c>
    </row>
    <row r="56" spans="2:8" x14ac:dyDescent="0.35">
      <c r="B56" s="57">
        <v>10</v>
      </c>
      <c r="C56" s="22">
        <v>0.5</v>
      </c>
      <c r="D56" s="22">
        <v>0.7</v>
      </c>
      <c r="E56" s="22">
        <v>0.7</v>
      </c>
      <c r="F56" s="22">
        <v>0.9</v>
      </c>
      <c r="G56" s="22">
        <v>0.12</v>
      </c>
      <c r="H56" s="22">
        <v>0.11</v>
      </c>
    </row>
    <row r="57" spans="2:8" x14ac:dyDescent="0.35">
      <c r="B57" s="57">
        <v>10.1</v>
      </c>
      <c r="C57" s="22">
        <v>0.50999999999999901</v>
      </c>
      <c r="D57" s="22">
        <v>0.72</v>
      </c>
      <c r="E57" s="22">
        <v>0.71</v>
      </c>
      <c r="F57" s="22">
        <v>0.92</v>
      </c>
      <c r="G57" s="22">
        <v>0.13</v>
      </c>
      <c r="H57" s="22">
        <v>0.12</v>
      </c>
    </row>
    <row r="58" spans="2:8" x14ac:dyDescent="0.35">
      <c r="B58" s="57">
        <v>10.199999999999999</v>
      </c>
      <c r="C58" s="22">
        <v>0.51999999999999902</v>
      </c>
      <c r="D58" s="22">
        <v>0.74</v>
      </c>
      <c r="E58" s="22">
        <v>0.72</v>
      </c>
      <c r="F58" s="22">
        <v>0.94</v>
      </c>
      <c r="G58" s="22">
        <v>0.14000000000000001</v>
      </c>
      <c r="H58" s="22">
        <v>0.13</v>
      </c>
    </row>
    <row r="59" spans="2:8" x14ac:dyDescent="0.35">
      <c r="B59" s="57">
        <v>10.3</v>
      </c>
      <c r="C59" s="22">
        <v>0.52999999999999903</v>
      </c>
      <c r="D59" s="22">
        <v>0.76</v>
      </c>
      <c r="E59" s="22">
        <v>0.73</v>
      </c>
      <c r="F59" s="22">
        <v>0.96</v>
      </c>
      <c r="G59" s="22">
        <v>0.15</v>
      </c>
      <c r="H59" s="22">
        <v>0.14000000000000001</v>
      </c>
    </row>
    <row r="60" spans="2:8" x14ac:dyDescent="0.35">
      <c r="B60" s="57">
        <v>10.4</v>
      </c>
      <c r="C60" s="22">
        <v>0.53999999999999904</v>
      </c>
      <c r="D60" s="22">
        <v>0.78</v>
      </c>
      <c r="E60" s="22">
        <v>0.74</v>
      </c>
      <c r="F60" s="22">
        <v>0.98</v>
      </c>
      <c r="G60" s="22">
        <v>0.16</v>
      </c>
      <c r="H60" s="22">
        <v>0.15</v>
      </c>
    </row>
    <row r="61" spans="2:8" x14ac:dyDescent="0.35">
      <c r="B61" s="57">
        <v>10.5</v>
      </c>
      <c r="C61" s="22">
        <v>0.54999999999999905</v>
      </c>
      <c r="D61" s="22">
        <v>0.8</v>
      </c>
      <c r="E61" s="22">
        <v>0.75</v>
      </c>
      <c r="F61" s="22">
        <v>1</v>
      </c>
      <c r="G61" s="22">
        <v>0.17</v>
      </c>
      <c r="H61" s="22">
        <v>0.16</v>
      </c>
    </row>
    <row r="62" spans="2:8" x14ac:dyDescent="0.35">
      <c r="B62" s="57">
        <v>10.6</v>
      </c>
      <c r="C62" s="22">
        <v>0.55999999999999905</v>
      </c>
      <c r="D62" s="22">
        <v>0.82</v>
      </c>
      <c r="E62" s="22">
        <v>0.76</v>
      </c>
      <c r="F62" s="22">
        <v>1.02</v>
      </c>
      <c r="G62" s="22">
        <v>0.18</v>
      </c>
      <c r="H62" s="22">
        <v>0.17</v>
      </c>
    </row>
    <row r="63" spans="2:8" x14ac:dyDescent="0.35">
      <c r="B63" s="57">
        <v>10.7</v>
      </c>
      <c r="C63" s="22">
        <v>0.56999999999999895</v>
      </c>
      <c r="D63" s="22">
        <v>0.84</v>
      </c>
      <c r="E63" s="22">
        <v>0.77</v>
      </c>
      <c r="F63" s="22">
        <v>1.04</v>
      </c>
      <c r="G63" s="22">
        <v>0.19</v>
      </c>
      <c r="H63" s="22">
        <v>0.18</v>
      </c>
    </row>
    <row r="64" spans="2:8" x14ac:dyDescent="0.35">
      <c r="B64" s="57">
        <v>10.8</v>
      </c>
      <c r="C64" s="22">
        <v>0.57999999999999896</v>
      </c>
      <c r="D64" s="22">
        <v>0.86</v>
      </c>
      <c r="E64" s="22">
        <v>0.78</v>
      </c>
      <c r="F64" s="22">
        <v>1.06</v>
      </c>
      <c r="G64" s="22">
        <v>0.2</v>
      </c>
      <c r="H64" s="22">
        <v>0.19</v>
      </c>
    </row>
    <row r="65" spans="2:8" x14ac:dyDescent="0.35">
      <c r="B65" s="57">
        <v>10.9</v>
      </c>
      <c r="C65" s="22">
        <v>0.58999999999999897</v>
      </c>
      <c r="D65" s="22">
        <v>0.88</v>
      </c>
      <c r="E65" s="22">
        <v>0.79</v>
      </c>
      <c r="F65" s="22">
        <v>1.08</v>
      </c>
      <c r="G65" s="22">
        <v>0.21</v>
      </c>
      <c r="H65" s="22">
        <v>0.2</v>
      </c>
    </row>
    <row r="66" spans="2:8" x14ac:dyDescent="0.35">
      <c r="B66" s="57">
        <v>11</v>
      </c>
      <c r="C66" s="22">
        <v>0.59999999999999898</v>
      </c>
      <c r="D66" s="22">
        <v>0.9</v>
      </c>
      <c r="E66" s="22">
        <v>0.8</v>
      </c>
      <c r="F66" s="22">
        <v>1.1000000000000001</v>
      </c>
      <c r="G66" s="22">
        <v>0.22</v>
      </c>
      <c r="H66" s="22">
        <v>0.21</v>
      </c>
    </row>
    <row r="67" spans="2:8" x14ac:dyDescent="0.35">
      <c r="B67" s="57">
        <v>11.1</v>
      </c>
      <c r="C67" s="22">
        <v>0.60999999999999899</v>
      </c>
      <c r="D67" s="22">
        <v>0.92</v>
      </c>
      <c r="E67" s="22">
        <v>0.81</v>
      </c>
      <c r="F67" s="22">
        <v>1.1200000000000001</v>
      </c>
      <c r="G67" s="22">
        <v>0.23</v>
      </c>
      <c r="H67" s="22">
        <v>0.22</v>
      </c>
    </row>
    <row r="68" spans="2:8" x14ac:dyDescent="0.35">
      <c r="B68" s="57">
        <v>11.2</v>
      </c>
      <c r="C68" s="22">
        <v>0.619999999999999</v>
      </c>
      <c r="D68" s="22">
        <v>0.94</v>
      </c>
      <c r="E68" s="22">
        <v>0.82</v>
      </c>
      <c r="F68" s="22">
        <v>1.1399999999999999</v>
      </c>
      <c r="G68" s="22">
        <v>0.24</v>
      </c>
      <c r="H68" s="22">
        <v>0.23</v>
      </c>
    </row>
    <row r="69" spans="2:8" x14ac:dyDescent="0.35">
      <c r="B69" s="57">
        <v>11.3</v>
      </c>
      <c r="C69" s="22">
        <v>0.62999999999999901</v>
      </c>
      <c r="D69" s="22">
        <v>0.96</v>
      </c>
      <c r="E69" s="22">
        <v>0.83</v>
      </c>
      <c r="F69" s="22">
        <v>1.1599999999999999</v>
      </c>
      <c r="G69" s="22">
        <v>0.25</v>
      </c>
      <c r="H69" s="22">
        <v>0.24</v>
      </c>
    </row>
    <row r="70" spans="2:8" x14ac:dyDescent="0.35">
      <c r="B70" s="57">
        <v>11.4</v>
      </c>
      <c r="C70" s="22">
        <v>0.63999999999999901</v>
      </c>
      <c r="D70" s="22">
        <v>0.98</v>
      </c>
      <c r="E70" s="22">
        <v>0.84</v>
      </c>
      <c r="F70" s="22">
        <v>1.18</v>
      </c>
      <c r="G70" s="22">
        <v>0.26</v>
      </c>
      <c r="H70" s="22">
        <v>0.25</v>
      </c>
    </row>
    <row r="71" spans="2:8" x14ac:dyDescent="0.35">
      <c r="B71" s="57">
        <v>11.5</v>
      </c>
      <c r="C71" s="22">
        <v>0.64999999999999902</v>
      </c>
      <c r="D71" s="22">
        <v>1</v>
      </c>
      <c r="E71" s="22">
        <v>0.85</v>
      </c>
      <c r="F71" s="22">
        <v>1.2</v>
      </c>
      <c r="G71" s="22">
        <v>0.27</v>
      </c>
      <c r="H71" s="22">
        <v>0.26</v>
      </c>
    </row>
    <row r="72" spans="2:8" x14ac:dyDescent="0.35">
      <c r="B72" s="57">
        <v>11.6</v>
      </c>
      <c r="C72" s="22">
        <v>0.65999999999999903</v>
      </c>
      <c r="D72" s="22">
        <v>1.02</v>
      </c>
      <c r="E72" s="22">
        <v>0.86</v>
      </c>
      <c r="F72" s="22">
        <v>1.22</v>
      </c>
      <c r="G72" s="22">
        <v>0.28000000000000003</v>
      </c>
      <c r="H72" s="22">
        <v>0.27</v>
      </c>
    </row>
    <row r="73" spans="2:8" x14ac:dyDescent="0.35">
      <c r="B73" s="57">
        <v>11.7</v>
      </c>
      <c r="C73" s="22">
        <v>0.66999999999999904</v>
      </c>
      <c r="D73" s="22">
        <v>1.04</v>
      </c>
      <c r="E73" s="22">
        <v>0.87</v>
      </c>
      <c r="F73" s="22">
        <v>1.24</v>
      </c>
      <c r="G73" s="22">
        <v>0.28999999999999998</v>
      </c>
      <c r="H73" s="22">
        <v>0.28000000000000003</v>
      </c>
    </row>
    <row r="74" spans="2:8" x14ac:dyDescent="0.35">
      <c r="B74" s="57">
        <v>11.8</v>
      </c>
      <c r="C74" s="22">
        <v>0.67999999999999905</v>
      </c>
      <c r="D74" s="22">
        <v>1.06</v>
      </c>
      <c r="E74" s="22">
        <v>0.88</v>
      </c>
      <c r="F74" s="22">
        <v>1.26</v>
      </c>
      <c r="G74" s="22">
        <v>0.3</v>
      </c>
      <c r="H74" s="22">
        <v>0.28999999999999998</v>
      </c>
    </row>
    <row r="75" spans="2:8" x14ac:dyDescent="0.35">
      <c r="B75" s="57">
        <v>11.9</v>
      </c>
      <c r="C75" s="22">
        <v>0.68999999999999895</v>
      </c>
      <c r="D75" s="22">
        <v>1.08</v>
      </c>
      <c r="E75" s="22">
        <v>0.89</v>
      </c>
      <c r="F75" s="22">
        <v>1.28</v>
      </c>
      <c r="G75" s="22">
        <v>0.31</v>
      </c>
      <c r="H75" s="22">
        <v>0.3</v>
      </c>
    </row>
    <row r="76" spans="2:8" x14ac:dyDescent="0.35">
      <c r="B76" s="57">
        <v>12</v>
      </c>
      <c r="C76" s="22">
        <v>0.69999999999999896</v>
      </c>
      <c r="D76" s="22">
        <v>1.1000000000000001</v>
      </c>
      <c r="E76" s="22">
        <v>0.9</v>
      </c>
      <c r="F76" s="22">
        <v>1.3</v>
      </c>
      <c r="G76" s="22">
        <v>0.32</v>
      </c>
      <c r="H76" s="22">
        <v>0.31</v>
      </c>
    </row>
    <row r="77" spans="2:8" x14ac:dyDescent="0.35">
      <c r="B77" s="57">
        <v>12.1</v>
      </c>
      <c r="C77" s="22">
        <v>0.70999999999999897</v>
      </c>
      <c r="D77" s="22">
        <v>1.1200000000000001</v>
      </c>
      <c r="E77" s="22">
        <v>0.91</v>
      </c>
      <c r="F77" s="22">
        <v>1.32</v>
      </c>
      <c r="G77" s="22">
        <v>0.33</v>
      </c>
      <c r="H77" s="22">
        <v>0.32</v>
      </c>
    </row>
    <row r="78" spans="2:8" x14ac:dyDescent="0.35">
      <c r="B78" s="57">
        <v>12.2</v>
      </c>
      <c r="C78" s="22">
        <v>0.71999999999999897</v>
      </c>
      <c r="D78" s="22">
        <v>1.1399999999999999</v>
      </c>
      <c r="E78" s="22">
        <v>0.92</v>
      </c>
      <c r="F78" s="22">
        <v>1.34</v>
      </c>
      <c r="G78" s="22">
        <v>0.34</v>
      </c>
      <c r="H78" s="22">
        <v>0.33</v>
      </c>
    </row>
    <row r="79" spans="2:8" x14ac:dyDescent="0.35">
      <c r="B79" s="57">
        <v>12.3</v>
      </c>
      <c r="C79" s="22">
        <v>0.72999999999999798</v>
      </c>
      <c r="D79" s="22">
        <v>1.1599999999999999</v>
      </c>
      <c r="E79" s="22">
        <v>0.93</v>
      </c>
      <c r="F79" s="22">
        <v>1.36</v>
      </c>
      <c r="G79" s="22">
        <v>0.35</v>
      </c>
      <c r="H79" s="22">
        <v>0.34</v>
      </c>
    </row>
    <row r="80" spans="2:8" x14ac:dyDescent="0.35">
      <c r="B80" s="57">
        <v>12.4</v>
      </c>
      <c r="C80" s="22">
        <v>0.73999999999999799</v>
      </c>
      <c r="D80" s="22">
        <v>1.18</v>
      </c>
      <c r="E80" s="22">
        <v>0.94</v>
      </c>
      <c r="F80" s="22">
        <v>1.38</v>
      </c>
      <c r="G80" s="22">
        <v>0.36</v>
      </c>
      <c r="H80" s="22">
        <v>0.35</v>
      </c>
    </row>
    <row r="81" spans="2:8" x14ac:dyDescent="0.35">
      <c r="B81" s="57">
        <v>12.5</v>
      </c>
      <c r="C81" s="22">
        <v>0.749999999999998</v>
      </c>
      <c r="D81" s="22">
        <v>1.2</v>
      </c>
      <c r="E81" s="22">
        <v>0.95</v>
      </c>
      <c r="F81" s="22">
        <v>1.4</v>
      </c>
      <c r="G81" s="22">
        <v>0.37</v>
      </c>
      <c r="H81" s="22">
        <v>0.36</v>
      </c>
    </row>
    <row r="82" spans="2:8" x14ac:dyDescent="0.35">
      <c r="B82" s="57">
        <v>12.6</v>
      </c>
      <c r="C82" s="22">
        <v>0.75999999999999801</v>
      </c>
      <c r="D82" s="22">
        <v>1.22</v>
      </c>
      <c r="E82" s="22">
        <v>0.96</v>
      </c>
      <c r="F82" s="22">
        <v>1.42</v>
      </c>
      <c r="G82" s="22">
        <v>0.38</v>
      </c>
      <c r="H82" s="22">
        <v>0.37</v>
      </c>
    </row>
    <row r="83" spans="2:8" x14ac:dyDescent="0.35">
      <c r="B83" s="57">
        <v>12.7</v>
      </c>
      <c r="C83" s="22">
        <v>0.76999999999999802</v>
      </c>
      <c r="D83" s="22">
        <v>1.24</v>
      </c>
      <c r="E83" s="22">
        <v>0.97</v>
      </c>
      <c r="F83" s="22">
        <v>1.44</v>
      </c>
      <c r="G83" s="22">
        <v>0.39</v>
      </c>
      <c r="H83" s="22">
        <v>0.38</v>
      </c>
    </row>
    <row r="84" spans="2:8" x14ac:dyDescent="0.35">
      <c r="B84" s="57">
        <v>12.8</v>
      </c>
      <c r="C84" s="22">
        <v>0.77999999999999803</v>
      </c>
      <c r="D84" s="22">
        <v>1.26</v>
      </c>
      <c r="E84" s="22">
        <v>0.98</v>
      </c>
      <c r="F84" s="22">
        <v>1.46</v>
      </c>
      <c r="G84" s="22">
        <v>0.4</v>
      </c>
      <c r="H84" s="22">
        <v>0.39</v>
      </c>
    </row>
    <row r="85" spans="2:8" x14ac:dyDescent="0.35">
      <c r="B85" s="57">
        <v>12.9</v>
      </c>
      <c r="C85" s="22">
        <v>0.78999999999999804</v>
      </c>
      <c r="D85" s="22">
        <v>1.28</v>
      </c>
      <c r="E85" s="22">
        <v>0.99</v>
      </c>
      <c r="F85" s="22">
        <v>1.48</v>
      </c>
      <c r="G85" s="22">
        <v>0.41</v>
      </c>
      <c r="H85" s="22">
        <v>0.4</v>
      </c>
    </row>
    <row r="86" spans="2:8" x14ac:dyDescent="0.35">
      <c r="B86" s="57">
        <v>13</v>
      </c>
      <c r="C86" s="22">
        <v>0.79999999999999805</v>
      </c>
      <c r="D86" s="22">
        <v>1.3</v>
      </c>
      <c r="E86" s="22">
        <v>1</v>
      </c>
      <c r="F86" s="22">
        <v>1.5</v>
      </c>
      <c r="G86" s="22">
        <v>0.42</v>
      </c>
      <c r="H86" s="22">
        <v>0.41</v>
      </c>
    </row>
    <row r="87" spans="2:8" x14ac:dyDescent="0.35">
      <c r="B87" s="57">
        <v>13.1</v>
      </c>
      <c r="C87" s="22">
        <v>0.80999999999999805</v>
      </c>
      <c r="D87" s="22">
        <v>1.32</v>
      </c>
      <c r="E87" s="22">
        <v>1.01</v>
      </c>
      <c r="F87" s="22">
        <v>1.52</v>
      </c>
      <c r="G87" s="22">
        <v>0.43</v>
      </c>
      <c r="H87" s="22">
        <v>0.42</v>
      </c>
    </row>
    <row r="88" spans="2:8" x14ac:dyDescent="0.35">
      <c r="B88" s="57">
        <v>13.2</v>
      </c>
      <c r="C88" s="22">
        <v>0.81999999999999795</v>
      </c>
      <c r="D88" s="22">
        <v>1.34</v>
      </c>
      <c r="E88" s="22">
        <v>1.02</v>
      </c>
      <c r="F88" s="22">
        <v>1.54</v>
      </c>
      <c r="G88" s="22">
        <v>0.44</v>
      </c>
      <c r="H88" s="22">
        <v>0.43</v>
      </c>
    </row>
    <row r="89" spans="2:8" x14ac:dyDescent="0.35">
      <c r="B89" s="57">
        <v>13.3</v>
      </c>
      <c r="C89" s="22">
        <v>0.82999999999999796</v>
      </c>
      <c r="D89" s="22">
        <v>1.36</v>
      </c>
      <c r="E89" s="22">
        <v>1.03</v>
      </c>
      <c r="F89" s="22">
        <v>1.56</v>
      </c>
      <c r="G89" s="22">
        <v>0.45</v>
      </c>
      <c r="H89" s="22">
        <v>0.44</v>
      </c>
    </row>
    <row r="90" spans="2:8" x14ac:dyDescent="0.35">
      <c r="B90" s="57">
        <v>13.4</v>
      </c>
      <c r="C90" s="22">
        <v>0.83999999999999797</v>
      </c>
      <c r="D90" s="22">
        <v>1.38</v>
      </c>
      <c r="E90" s="22">
        <v>1.04</v>
      </c>
      <c r="F90" s="22">
        <v>1.58</v>
      </c>
      <c r="G90" s="22">
        <v>0.46</v>
      </c>
      <c r="H90" s="22">
        <v>0.45</v>
      </c>
    </row>
    <row r="91" spans="2:8" x14ac:dyDescent="0.35">
      <c r="B91" s="57">
        <v>13.5</v>
      </c>
      <c r="C91" s="22">
        <v>0.84999999999999798</v>
      </c>
      <c r="D91" s="22">
        <v>1.4</v>
      </c>
      <c r="E91" s="22">
        <v>1.05</v>
      </c>
      <c r="F91" s="22">
        <v>1.6</v>
      </c>
      <c r="G91" s="22">
        <v>0.47</v>
      </c>
      <c r="H91" s="22">
        <v>0.46</v>
      </c>
    </row>
    <row r="92" spans="2:8" x14ac:dyDescent="0.35">
      <c r="B92" s="57">
        <v>13.6</v>
      </c>
      <c r="C92" s="22">
        <v>0.85999999999999799</v>
      </c>
      <c r="D92" s="22">
        <v>1.42</v>
      </c>
      <c r="E92" s="22">
        <v>1.06</v>
      </c>
      <c r="F92" s="22">
        <v>1.62</v>
      </c>
      <c r="G92" s="22">
        <v>0.48</v>
      </c>
      <c r="H92" s="22">
        <v>0.47</v>
      </c>
    </row>
    <row r="93" spans="2:8" x14ac:dyDescent="0.35">
      <c r="B93" s="57">
        <v>13.7</v>
      </c>
      <c r="C93" s="22">
        <v>0.869999999999998</v>
      </c>
      <c r="D93" s="22">
        <v>1.44</v>
      </c>
      <c r="E93" s="22">
        <v>1.07</v>
      </c>
      <c r="F93" s="22">
        <v>1.64</v>
      </c>
      <c r="G93" s="22">
        <v>0.49</v>
      </c>
      <c r="H93" s="22">
        <v>0.48</v>
      </c>
    </row>
    <row r="94" spans="2:8" x14ac:dyDescent="0.35">
      <c r="B94" s="57">
        <v>13.8</v>
      </c>
      <c r="C94" s="22">
        <v>0.87999999999999801</v>
      </c>
      <c r="D94" s="22">
        <v>1.46</v>
      </c>
      <c r="E94" s="22">
        <v>1.08</v>
      </c>
      <c r="F94" s="22">
        <v>1.66</v>
      </c>
      <c r="G94" s="22">
        <v>0.5</v>
      </c>
      <c r="H94" s="22">
        <v>0.49</v>
      </c>
    </row>
    <row r="95" spans="2:8" x14ac:dyDescent="0.35">
      <c r="B95" s="57">
        <v>13.9</v>
      </c>
      <c r="C95" s="22">
        <v>0.88999999999999801</v>
      </c>
      <c r="D95" s="22">
        <v>1.48</v>
      </c>
      <c r="E95" s="22">
        <v>1.0900000000000001</v>
      </c>
      <c r="F95" s="22">
        <v>1.68</v>
      </c>
      <c r="G95" s="22">
        <v>0.51</v>
      </c>
      <c r="H95" s="22">
        <v>0.5</v>
      </c>
    </row>
    <row r="96" spans="2:8" x14ac:dyDescent="0.35">
      <c r="B96" s="57">
        <v>14</v>
      </c>
      <c r="C96" s="22">
        <v>0.89999999999999802</v>
      </c>
      <c r="D96" s="22">
        <v>1.5</v>
      </c>
      <c r="E96" s="22">
        <v>1.1000000000000001</v>
      </c>
      <c r="F96" s="22">
        <v>1.7</v>
      </c>
      <c r="G96" s="22">
        <v>0.52</v>
      </c>
      <c r="H96" s="22">
        <v>0.51</v>
      </c>
    </row>
    <row r="97" spans="2:8" x14ac:dyDescent="0.35">
      <c r="B97" s="57">
        <v>14.1</v>
      </c>
      <c r="C97" s="22">
        <v>0.90999999999999803</v>
      </c>
      <c r="D97" s="22">
        <v>1.52</v>
      </c>
      <c r="E97" s="22">
        <v>1.1100000000000001</v>
      </c>
      <c r="F97" s="22">
        <v>1.72</v>
      </c>
      <c r="G97" s="22">
        <v>0.53</v>
      </c>
      <c r="H97" s="22">
        <v>0.52</v>
      </c>
    </row>
    <row r="98" spans="2:8" x14ac:dyDescent="0.35">
      <c r="B98" s="57">
        <v>14.2</v>
      </c>
      <c r="C98" s="22">
        <v>0.91999999999999804</v>
      </c>
      <c r="D98" s="22">
        <v>1.54</v>
      </c>
      <c r="E98" s="22">
        <v>1.1200000000000001</v>
      </c>
      <c r="F98" s="22">
        <v>1.74</v>
      </c>
      <c r="G98" s="22">
        <v>0.54</v>
      </c>
      <c r="H98" s="22">
        <v>0.53</v>
      </c>
    </row>
    <row r="99" spans="2:8" x14ac:dyDescent="0.35">
      <c r="B99" s="57">
        <v>14.3</v>
      </c>
      <c r="C99" s="22">
        <v>0.92999999999999805</v>
      </c>
      <c r="D99" s="22">
        <v>1.56</v>
      </c>
      <c r="E99" s="22">
        <v>1.1299999999999999</v>
      </c>
      <c r="F99" s="22">
        <v>1.76</v>
      </c>
      <c r="G99" s="22">
        <v>0.55000000000000004</v>
      </c>
      <c r="H99" s="22">
        <v>0.54</v>
      </c>
    </row>
    <row r="100" spans="2:8" x14ac:dyDescent="0.35">
      <c r="B100" s="57">
        <v>14.4</v>
      </c>
      <c r="C100" s="22">
        <v>0.93999999999999695</v>
      </c>
      <c r="D100" s="22">
        <v>1.58</v>
      </c>
      <c r="E100" s="22">
        <v>1.1399999999999999</v>
      </c>
      <c r="F100" s="22">
        <v>1.78</v>
      </c>
      <c r="G100" s="22">
        <v>0.56000000000000005</v>
      </c>
      <c r="H100" s="22">
        <v>0.55000000000000004</v>
      </c>
    </row>
    <row r="101" spans="2:8" x14ac:dyDescent="0.35">
      <c r="B101" s="57">
        <v>14.5</v>
      </c>
      <c r="C101" s="22">
        <v>0.94999999999999696</v>
      </c>
      <c r="D101" s="22">
        <v>1.6</v>
      </c>
      <c r="E101" s="22">
        <v>1.1499999999999999</v>
      </c>
      <c r="F101" s="22">
        <v>1.8</v>
      </c>
      <c r="G101" s="22">
        <v>0.56999999999999995</v>
      </c>
      <c r="H101" s="22">
        <v>0.56000000000000005</v>
      </c>
    </row>
    <row r="102" spans="2:8" x14ac:dyDescent="0.35">
      <c r="B102" s="57">
        <v>14.6</v>
      </c>
      <c r="C102" s="22">
        <v>0.95999999999999697</v>
      </c>
      <c r="D102" s="22">
        <v>1.62</v>
      </c>
      <c r="E102" s="22">
        <v>1.1599999999999999</v>
      </c>
      <c r="F102" s="22">
        <v>1.82</v>
      </c>
      <c r="G102" s="22">
        <v>0.57999999999999996</v>
      </c>
      <c r="H102" s="22">
        <v>0.56999999999999995</v>
      </c>
    </row>
    <row r="103" spans="2:8" x14ac:dyDescent="0.35">
      <c r="B103" s="57">
        <v>14.7</v>
      </c>
      <c r="C103" s="22">
        <v>0.96999999999999698</v>
      </c>
      <c r="D103" s="22">
        <v>1.64</v>
      </c>
      <c r="E103" s="22">
        <v>1.17</v>
      </c>
      <c r="F103" s="22">
        <v>1.84</v>
      </c>
      <c r="G103" s="22">
        <v>0.59</v>
      </c>
      <c r="H103" s="22">
        <v>0.57999999999999996</v>
      </c>
    </row>
    <row r="104" spans="2:8" x14ac:dyDescent="0.35">
      <c r="B104" s="57">
        <v>14.8</v>
      </c>
      <c r="C104" s="22">
        <v>0.97999999999999698</v>
      </c>
      <c r="D104" s="22">
        <v>1.66</v>
      </c>
      <c r="E104" s="22">
        <v>1.18</v>
      </c>
      <c r="F104" s="22">
        <v>1.86</v>
      </c>
      <c r="G104" s="22">
        <v>0.6</v>
      </c>
      <c r="H104" s="22">
        <v>0.59</v>
      </c>
    </row>
    <row r="105" spans="2:8" x14ac:dyDescent="0.35">
      <c r="B105" s="57">
        <v>14.9</v>
      </c>
      <c r="C105" s="22">
        <v>0.98999999999999699</v>
      </c>
      <c r="D105" s="22">
        <v>1.68</v>
      </c>
      <c r="E105" s="22">
        <v>1.19</v>
      </c>
      <c r="F105" s="22">
        <v>1.88</v>
      </c>
      <c r="G105" s="22">
        <v>0.61</v>
      </c>
      <c r="H105" s="22">
        <v>0.6</v>
      </c>
    </row>
    <row r="106" spans="2:8" x14ac:dyDescent="0.35">
      <c r="B106" s="57">
        <v>15</v>
      </c>
      <c r="C106" s="22">
        <v>0.999999999999997</v>
      </c>
      <c r="D106" s="22">
        <v>1.7</v>
      </c>
      <c r="E106" s="22">
        <v>1.2</v>
      </c>
      <c r="F106" s="22">
        <v>1.9</v>
      </c>
      <c r="G106" s="22">
        <v>0.62</v>
      </c>
      <c r="H106" s="22">
        <v>0.61</v>
      </c>
    </row>
    <row r="107" spans="2:8" x14ac:dyDescent="0.35">
      <c r="B107" s="57">
        <v>15.1</v>
      </c>
      <c r="C107" s="22">
        <v>1.01</v>
      </c>
      <c r="D107" s="22">
        <v>1.72</v>
      </c>
      <c r="E107" s="22">
        <v>1.21</v>
      </c>
      <c r="F107" s="22">
        <v>1.92</v>
      </c>
      <c r="G107" s="22">
        <v>0.63</v>
      </c>
      <c r="H107" s="22">
        <v>0.62</v>
      </c>
    </row>
    <row r="108" spans="2:8" x14ac:dyDescent="0.35">
      <c r="B108" s="57">
        <v>15.2</v>
      </c>
      <c r="C108" s="22">
        <v>1.02</v>
      </c>
      <c r="D108" s="22">
        <v>1.74</v>
      </c>
      <c r="E108" s="22">
        <v>1.22</v>
      </c>
      <c r="F108" s="22">
        <v>1.94</v>
      </c>
      <c r="G108" s="22">
        <v>0.64</v>
      </c>
      <c r="H108" s="22">
        <v>0.63</v>
      </c>
    </row>
    <row r="109" spans="2:8" x14ac:dyDescent="0.35">
      <c r="B109" s="57">
        <v>15.3</v>
      </c>
      <c r="C109" s="22">
        <v>1.03</v>
      </c>
      <c r="D109" s="22">
        <v>1.76</v>
      </c>
      <c r="E109" s="22">
        <v>1.23</v>
      </c>
      <c r="F109" s="22">
        <v>1.96</v>
      </c>
      <c r="G109" s="22">
        <v>0.65</v>
      </c>
      <c r="H109" s="22">
        <v>0.64</v>
      </c>
    </row>
    <row r="110" spans="2:8" x14ac:dyDescent="0.35">
      <c r="B110" s="57">
        <v>15.4</v>
      </c>
      <c r="C110" s="22">
        <v>1.04</v>
      </c>
      <c r="D110" s="22">
        <v>1.78</v>
      </c>
      <c r="E110" s="22">
        <v>1.24</v>
      </c>
      <c r="F110" s="22">
        <v>1.98</v>
      </c>
      <c r="G110" s="22">
        <v>0.66</v>
      </c>
      <c r="H110" s="22">
        <v>0.65</v>
      </c>
    </row>
    <row r="111" spans="2:8" x14ac:dyDescent="0.35">
      <c r="B111" s="57">
        <v>15.5</v>
      </c>
      <c r="C111" s="22">
        <v>1.05</v>
      </c>
      <c r="D111" s="22">
        <v>1.8</v>
      </c>
      <c r="E111" s="22">
        <v>1.25</v>
      </c>
      <c r="F111" s="22">
        <v>2</v>
      </c>
      <c r="G111" s="22">
        <v>0.67</v>
      </c>
      <c r="H111" s="22">
        <v>0.66</v>
      </c>
    </row>
    <row r="112" spans="2:8" x14ac:dyDescent="0.35">
      <c r="B112" s="57">
        <v>15.6</v>
      </c>
      <c r="C112" s="22">
        <v>1.06</v>
      </c>
      <c r="D112" s="22">
        <v>1.82</v>
      </c>
      <c r="E112" s="22">
        <v>1.26</v>
      </c>
      <c r="F112" s="22">
        <v>2.02</v>
      </c>
      <c r="G112" s="22">
        <v>0.68</v>
      </c>
      <c r="H112" s="22">
        <v>0.67</v>
      </c>
    </row>
    <row r="113" spans="2:8" x14ac:dyDescent="0.35">
      <c r="B113" s="57">
        <v>15.7</v>
      </c>
      <c r="C113" s="22">
        <v>1.07</v>
      </c>
      <c r="D113" s="22">
        <v>1.84</v>
      </c>
      <c r="E113" s="22">
        <v>1.27</v>
      </c>
      <c r="F113" s="22">
        <v>2.04</v>
      </c>
      <c r="G113" s="22">
        <v>0.69</v>
      </c>
      <c r="H113" s="22">
        <v>0.68</v>
      </c>
    </row>
    <row r="114" spans="2:8" x14ac:dyDescent="0.35">
      <c r="B114" s="57">
        <v>15.8</v>
      </c>
      <c r="C114" s="22">
        <v>1.08</v>
      </c>
      <c r="D114" s="22">
        <v>1.86</v>
      </c>
      <c r="E114" s="22">
        <v>1.28</v>
      </c>
      <c r="F114" s="22">
        <v>2.06</v>
      </c>
      <c r="G114" s="22">
        <v>0.7</v>
      </c>
      <c r="H114" s="22">
        <v>0.69</v>
      </c>
    </row>
    <row r="115" spans="2:8" x14ac:dyDescent="0.35">
      <c r="B115" s="57">
        <v>15.9</v>
      </c>
      <c r="C115" s="22">
        <v>1.0900000000000001</v>
      </c>
      <c r="D115" s="22">
        <v>1.88</v>
      </c>
      <c r="E115" s="22">
        <v>1.29</v>
      </c>
      <c r="F115" s="22">
        <v>2.08</v>
      </c>
      <c r="G115" s="22">
        <v>0.71</v>
      </c>
      <c r="H115" s="22">
        <v>0.7</v>
      </c>
    </row>
    <row r="116" spans="2:8" x14ac:dyDescent="0.35">
      <c r="B116" s="57">
        <v>16</v>
      </c>
      <c r="C116" s="22">
        <v>1.1000000000000001</v>
      </c>
      <c r="D116" s="22">
        <v>1.9</v>
      </c>
      <c r="E116" s="22">
        <v>1.3</v>
      </c>
      <c r="F116" s="22">
        <v>2.1</v>
      </c>
      <c r="G116" s="22">
        <v>0.72</v>
      </c>
      <c r="H116" s="22">
        <v>0.71</v>
      </c>
    </row>
    <row r="117" spans="2:8" x14ac:dyDescent="0.35">
      <c r="B117" s="57">
        <v>16.100000000000001</v>
      </c>
      <c r="C117" s="22">
        <v>1.1100000000000001</v>
      </c>
      <c r="D117" s="22">
        <v>1.92</v>
      </c>
      <c r="E117" s="22">
        <v>1.31</v>
      </c>
      <c r="F117" s="22">
        <v>2.12</v>
      </c>
      <c r="G117" s="22">
        <v>0.73</v>
      </c>
      <c r="H117" s="22">
        <v>0.72</v>
      </c>
    </row>
    <row r="118" spans="2:8" x14ac:dyDescent="0.35">
      <c r="B118" s="57">
        <v>16.2</v>
      </c>
      <c r="C118" s="22">
        <v>1.1200000000000001</v>
      </c>
      <c r="D118" s="22">
        <v>1.94</v>
      </c>
      <c r="E118" s="22">
        <v>1.32</v>
      </c>
      <c r="F118" s="22">
        <v>2.14</v>
      </c>
      <c r="G118" s="22">
        <v>0.74</v>
      </c>
      <c r="H118" s="22">
        <v>0.73</v>
      </c>
    </row>
    <row r="119" spans="2:8" x14ac:dyDescent="0.35">
      <c r="B119" s="57">
        <v>16.3</v>
      </c>
      <c r="C119" s="22">
        <v>1.1299999999999999</v>
      </c>
      <c r="D119" s="22">
        <v>1.96</v>
      </c>
      <c r="E119" s="22">
        <v>1.33</v>
      </c>
      <c r="F119" s="22">
        <v>2.16</v>
      </c>
      <c r="G119" s="22">
        <v>0.75</v>
      </c>
      <c r="H119" s="22">
        <v>0.74</v>
      </c>
    </row>
    <row r="120" spans="2:8" x14ac:dyDescent="0.35">
      <c r="B120" s="57">
        <v>16.399999999999999</v>
      </c>
      <c r="C120" s="22">
        <v>1.1399999999999999</v>
      </c>
      <c r="D120" s="22">
        <v>1.98</v>
      </c>
      <c r="E120" s="22">
        <v>1.34</v>
      </c>
      <c r="F120" s="22">
        <v>2.1800000000000002</v>
      </c>
      <c r="G120" s="22">
        <v>0.76</v>
      </c>
      <c r="H120" s="22">
        <v>0.75</v>
      </c>
    </row>
    <row r="121" spans="2:8" x14ac:dyDescent="0.35">
      <c r="B121" s="57">
        <v>16.5</v>
      </c>
      <c r="C121" s="22">
        <v>1.1499999999999999</v>
      </c>
      <c r="D121" s="22">
        <v>2</v>
      </c>
      <c r="E121" s="22">
        <v>1.35</v>
      </c>
      <c r="F121" s="22">
        <v>2.2000000000000002</v>
      </c>
      <c r="G121" s="22">
        <v>0.77</v>
      </c>
      <c r="H121" s="22">
        <v>0.76</v>
      </c>
    </row>
    <row r="122" spans="2:8" x14ac:dyDescent="0.35">
      <c r="B122" s="57">
        <v>16.600000000000001</v>
      </c>
      <c r="C122" s="22">
        <v>1.1599999999999999</v>
      </c>
      <c r="D122" s="22">
        <v>2.02</v>
      </c>
      <c r="E122" s="22">
        <v>1.36</v>
      </c>
      <c r="F122" s="22">
        <v>2.2200000000000002</v>
      </c>
      <c r="G122" s="22">
        <v>0.78</v>
      </c>
      <c r="H122" s="22">
        <v>0.77</v>
      </c>
    </row>
    <row r="123" spans="2:8" x14ac:dyDescent="0.35">
      <c r="B123" s="57">
        <v>16.7</v>
      </c>
      <c r="C123" s="22">
        <v>1.17</v>
      </c>
      <c r="D123" s="22">
        <v>2.04</v>
      </c>
      <c r="E123" s="22">
        <v>1.37</v>
      </c>
      <c r="F123" s="22">
        <v>2.2400000000000002</v>
      </c>
      <c r="G123" s="22">
        <v>0.79</v>
      </c>
      <c r="H123" s="22">
        <v>0.78</v>
      </c>
    </row>
    <row r="124" spans="2:8" x14ac:dyDescent="0.35">
      <c r="B124" s="57">
        <v>16.8</v>
      </c>
      <c r="C124" s="22">
        <v>1.18</v>
      </c>
      <c r="D124" s="22">
        <v>2.06</v>
      </c>
      <c r="E124" s="22">
        <v>1.38</v>
      </c>
      <c r="F124" s="22">
        <v>2.2599999999999998</v>
      </c>
      <c r="G124" s="22">
        <v>0.8</v>
      </c>
      <c r="H124" s="22">
        <v>0.79</v>
      </c>
    </row>
    <row r="125" spans="2:8" x14ac:dyDescent="0.35">
      <c r="B125" s="57">
        <v>16.899999999999999</v>
      </c>
      <c r="C125" s="22">
        <v>1.19</v>
      </c>
      <c r="D125" s="22">
        <v>2.08</v>
      </c>
      <c r="E125" s="22">
        <v>1.39</v>
      </c>
      <c r="F125" s="22">
        <v>2.2799999999999998</v>
      </c>
      <c r="G125" s="22">
        <v>0.81</v>
      </c>
      <c r="H125" s="22">
        <v>0.8</v>
      </c>
    </row>
    <row r="126" spans="2:8" x14ac:dyDescent="0.35">
      <c r="B126" s="57">
        <v>17</v>
      </c>
      <c r="C126" s="22">
        <v>1.2</v>
      </c>
      <c r="D126" s="22">
        <v>2.1</v>
      </c>
      <c r="E126" s="22">
        <v>1.4</v>
      </c>
      <c r="F126" s="22">
        <v>2.2999999999999998</v>
      </c>
      <c r="G126" s="22">
        <v>0.82</v>
      </c>
      <c r="H126" s="22">
        <v>0.81</v>
      </c>
    </row>
    <row r="127" spans="2:8" x14ac:dyDescent="0.35">
      <c r="B127" s="57">
        <v>17.100000000000001</v>
      </c>
      <c r="C127" s="22">
        <v>1.21</v>
      </c>
      <c r="D127" s="22">
        <v>2.12</v>
      </c>
      <c r="E127" s="22">
        <v>1.41</v>
      </c>
      <c r="F127" s="22">
        <v>2.3199999999999998</v>
      </c>
      <c r="G127" s="22">
        <v>0.83</v>
      </c>
      <c r="H127" s="22">
        <v>0.82</v>
      </c>
    </row>
    <row r="128" spans="2:8" x14ac:dyDescent="0.35">
      <c r="B128" s="57">
        <v>17.2</v>
      </c>
      <c r="C128" s="22">
        <v>1.22</v>
      </c>
      <c r="D128" s="22">
        <v>2.14</v>
      </c>
      <c r="E128" s="22">
        <v>1.42</v>
      </c>
      <c r="F128" s="22">
        <v>2.34</v>
      </c>
      <c r="G128" s="22">
        <v>0.84</v>
      </c>
      <c r="H128" s="22">
        <v>0.83</v>
      </c>
    </row>
    <row r="129" spans="2:8" x14ac:dyDescent="0.35">
      <c r="B129" s="57">
        <v>17.3</v>
      </c>
      <c r="C129" s="22">
        <v>1.23</v>
      </c>
      <c r="D129" s="22">
        <v>2.16</v>
      </c>
      <c r="E129" s="22">
        <v>1.43</v>
      </c>
      <c r="F129" s="22">
        <v>2.36</v>
      </c>
      <c r="G129" s="22">
        <v>0.85</v>
      </c>
      <c r="H129" s="22">
        <v>0.84</v>
      </c>
    </row>
    <row r="130" spans="2:8" x14ac:dyDescent="0.35">
      <c r="B130" s="57">
        <v>17.399999999999999</v>
      </c>
      <c r="C130" s="22">
        <v>1.24</v>
      </c>
      <c r="D130" s="22">
        <v>2.1800000000000002</v>
      </c>
      <c r="E130" s="22">
        <v>1.44</v>
      </c>
      <c r="F130" s="22">
        <v>2.38</v>
      </c>
      <c r="G130" s="22">
        <v>0.86</v>
      </c>
      <c r="H130" s="22">
        <v>0.85</v>
      </c>
    </row>
    <row r="131" spans="2:8" x14ac:dyDescent="0.35">
      <c r="B131" s="57">
        <v>17.5</v>
      </c>
      <c r="C131" s="22">
        <v>1.25</v>
      </c>
      <c r="D131" s="22">
        <v>2.2000000000000002</v>
      </c>
      <c r="E131" s="22">
        <v>1.45</v>
      </c>
      <c r="F131" s="22">
        <v>2.4</v>
      </c>
      <c r="G131" s="22">
        <v>0.87</v>
      </c>
      <c r="H131" s="22">
        <v>0.86</v>
      </c>
    </row>
    <row r="132" spans="2:8" x14ac:dyDescent="0.35">
      <c r="B132" s="57">
        <v>17.600000000000001</v>
      </c>
      <c r="C132" s="22">
        <v>1.26</v>
      </c>
      <c r="D132" s="22">
        <v>2.2200000000000002</v>
      </c>
      <c r="E132" s="22">
        <v>1.46</v>
      </c>
      <c r="F132" s="22">
        <v>2.42</v>
      </c>
      <c r="G132" s="22">
        <v>0.88</v>
      </c>
      <c r="H132" s="22">
        <v>0.87</v>
      </c>
    </row>
    <row r="133" spans="2:8" x14ac:dyDescent="0.35">
      <c r="B133" s="57">
        <v>17.7</v>
      </c>
      <c r="C133" s="22">
        <v>1.27</v>
      </c>
      <c r="D133" s="22">
        <v>2.2400000000000002</v>
      </c>
      <c r="E133" s="22">
        <v>1.47</v>
      </c>
      <c r="F133" s="22">
        <v>2.44</v>
      </c>
      <c r="G133" s="22">
        <v>0.89</v>
      </c>
      <c r="H133" s="22">
        <v>0.88</v>
      </c>
    </row>
    <row r="134" spans="2:8" x14ac:dyDescent="0.35">
      <c r="B134" s="57">
        <v>17.8</v>
      </c>
      <c r="C134" s="22">
        <v>1.28</v>
      </c>
      <c r="D134" s="22">
        <v>2.2599999999999998</v>
      </c>
      <c r="E134" s="22">
        <v>1.48</v>
      </c>
      <c r="F134" s="22">
        <v>2.46</v>
      </c>
      <c r="G134" s="22">
        <v>0.9</v>
      </c>
      <c r="H134" s="22">
        <v>0.89</v>
      </c>
    </row>
    <row r="135" spans="2:8" x14ac:dyDescent="0.35">
      <c r="B135" s="57">
        <v>17.899999999999999</v>
      </c>
      <c r="C135" s="22">
        <v>1.29</v>
      </c>
      <c r="D135" s="22">
        <v>2.2799999999999998</v>
      </c>
      <c r="E135" s="22">
        <v>1.49</v>
      </c>
      <c r="F135" s="22">
        <v>2.48</v>
      </c>
      <c r="G135" s="22">
        <v>0.91</v>
      </c>
      <c r="H135" s="22">
        <v>0.9</v>
      </c>
    </row>
    <row r="136" spans="2:8" x14ac:dyDescent="0.35">
      <c r="B136" s="57">
        <v>18</v>
      </c>
      <c r="C136" s="22">
        <v>1.3</v>
      </c>
      <c r="D136" s="22">
        <v>2.2999999999999998</v>
      </c>
      <c r="E136" s="22">
        <v>1.5</v>
      </c>
      <c r="F136" s="22">
        <v>2.5</v>
      </c>
      <c r="G136" s="22">
        <v>0.92</v>
      </c>
      <c r="H136" s="22">
        <v>0.91</v>
      </c>
    </row>
    <row r="137" spans="2:8" x14ac:dyDescent="0.35">
      <c r="B137" s="57">
        <v>18.100000000000001</v>
      </c>
      <c r="C137" s="22">
        <v>1.31</v>
      </c>
      <c r="D137" s="22">
        <v>2.3199999999999998</v>
      </c>
      <c r="E137" s="22">
        <v>1.51</v>
      </c>
      <c r="F137" s="22">
        <v>2.52</v>
      </c>
      <c r="G137" s="22">
        <v>0.93</v>
      </c>
      <c r="H137" s="22">
        <v>0.92</v>
      </c>
    </row>
    <row r="138" spans="2:8" x14ac:dyDescent="0.35">
      <c r="B138" s="57">
        <v>18.2</v>
      </c>
      <c r="C138" s="22">
        <v>1.32</v>
      </c>
      <c r="D138" s="22">
        <v>2.34</v>
      </c>
      <c r="E138" s="22">
        <v>1.52</v>
      </c>
      <c r="F138" s="22">
        <v>2.54</v>
      </c>
      <c r="G138" s="22">
        <v>0.94</v>
      </c>
      <c r="H138" s="22">
        <v>0.93</v>
      </c>
    </row>
    <row r="139" spans="2:8" x14ac:dyDescent="0.35">
      <c r="B139" s="57">
        <v>18.3</v>
      </c>
      <c r="C139" s="22">
        <v>1.33</v>
      </c>
      <c r="D139" s="22">
        <v>2.36</v>
      </c>
      <c r="E139" s="22">
        <v>1.53</v>
      </c>
      <c r="F139" s="22">
        <v>2.56</v>
      </c>
      <c r="G139" s="22">
        <v>0.95</v>
      </c>
      <c r="H139" s="22">
        <v>0.94</v>
      </c>
    </row>
    <row r="140" spans="2:8" x14ac:dyDescent="0.35">
      <c r="B140" s="57">
        <v>18.399999999999999</v>
      </c>
      <c r="C140" s="22">
        <v>1.34</v>
      </c>
      <c r="D140" s="22">
        <v>2.38</v>
      </c>
      <c r="E140" s="22">
        <v>1.54</v>
      </c>
      <c r="F140" s="22">
        <v>2.58</v>
      </c>
      <c r="G140" s="22">
        <v>0.96</v>
      </c>
      <c r="H140" s="22">
        <v>0.95</v>
      </c>
    </row>
    <row r="141" spans="2:8" x14ac:dyDescent="0.35">
      <c r="B141" s="57">
        <v>18.5</v>
      </c>
      <c r="C141" s="22">
        <v>1.35</v>
      </c>
      <c r="D141" s="22">
        <v>2.4</v>
      </c>
      <c r="E141" s="22">
        <v>1.55</v>
      </c>
      <c r="F141" s="22">
        <v>2.6</v>
      </c>
      <c r="G141" s="22">
        <v>0.97</v>
      </c>
      <c r="H141" s="22">
        <v>0.96</v>
      </c>
    </row>
    <row r="142" spans="2:8" x14ac:dyDescent="0.35">
      <c r="B142" s="57">
        <v>18.600000000000001</v>
      </c>
      <c r="C142" s="22">
        <v>1.36</v>
      </c>
      <c r="D142" s="22">
        <v>2.42</v>
      </c>
      <c r="E142" s="22">
        <v>1.56</v>
      </c>
      <c r="F142" s="22">
        <v>2.62</v>
      </c>
      <c r="G142" s="22">
        <v>0.98</v>
      </c>
      <c r="H142" s="22">
        <v>0.97</v>
      </c>
    </row>
    <row r="143" spans="2:8" x14ac:dyDescent="0.35">
      <c r="B143" s="57">
        <v>18.7</v>
      </c>
      <c r="C143" s="22">
        <v>1.37</v>
      </c>
      <c r="D143" s="22">
        <v>2.44</v>
      </c>
      <c r="E143" s="22">
        <v>1.57</v>
      </c>
      <c r="F143" s="22">
        <v>2.64</v>
      </c>
      <c r="G143" s="22">
        <v>0.99</v>
      </c>
      <c r="H143" s="22">
        <v>0.98</v>
      </c>
    </row>
    <row r="144" spans="2:8" x14ac:dyDescent="0.35">
      <c r="B144" s="57">
        <v>18.8</v>
      </c>
      <c r="C144" s="22">
        <v>1.38</v>
      </c>
      <c r="D144" s="22">
        <v>2.46</v>
      </c>
      <c r="E144" s="22">
        <v>1.58</v>
      </c>
      <c r="F144" s="22">
        <v>2.66</v>
      </c>
      <c r="G144" s="22">
        <v>1</v>
      </c>
      <c r="H144" s="22">
        <v>0.99</v>
      </c>
    </row>
    <row r="145" spans="2:8" x14ac:dyDescent="0.35">
      <c r="B145" s="57">
        <v>18.899999999999999</v>
      </c>
      <c r="C145" s="22">
        <v>1.39</v>
      </c>
      <c r="D145" s="22">
        <v>2.48</v>
      </c>
      <c r="E145" s="22">
        <v>1.59</v>
      </c>
      <c r="F145" s="22">
        <v>2.68</v>
      </c>
      <c r="G145" s="22">
        <v>1.01</v>
      </c>
      <c r="H145" s="22">
        <v>1</v>
      </c>
    </row>
    <row r="146" spans="2:8" x14ac:dyDescent="0.35">
      <c r="B146" s="57">
        <v>19</v>
      </c>
      <c r="C146" s="22">
        <v>1.4</v>
      </c>
      <c r="D146" s="22">
        <v>2.5</v>
      </c>
      <c r="E146" s="22">
        <v>1.6</v>
      </c>
      <c r="F146" s="22">
        <v>2.7</v>
      </c>
      <c r="G146" s="22">
        <v>1.02</v>
      </c>
      <c r="H146" s="22">
        <v>1.01</v>
      </c>
    </row>
    <row r="147" spans="2:8" x14ac:dyDescent="0.35">
      <c r="B147" s="57">
        <v>19.100000000000001</v>
      </c>
      <c r="C147" s="22">
        <v>1.41</v>
      </c>
      <c r="D147" s="22">
        <v>2.52</v>
      </c>
      <c r="E147" s="22">
        <v>1.61</v>
      </c>
      <c r="F147" s="22">
        <v>2.72</v>
      </c>
      <c r="G147" s="22">
        <v>1.03</v>
      </c>
      <c r="H147" s="22">
        <v>1.02</v>
      </c>
    </row>
    <row r="148" spans="2:8" x14ac:dyDescent="0.35">
      <c r="B148" s="57">
        <v>19.2</v>
      </c>
      <c r="C148" s="22">
        <v>1.42</v>
      </c>
      <c r="D148" s="22">
        <v>2.54</v>
      </c>
      <c r="E148" s="22">
        <v>1.62</v>
      </c>
      <c r="F148" s="22">
        <v>2.74</v>
      </c>
      <c r="G148" s="22">
        <v>1.04</v>
      </c>
      <c r="H148" s="22">
        <v>1.03</v>
      </c>
    </row>
    <row r="149" spans="2:8" x14ac:dyDescent="0.35">
      <c r="B149" s="57">
        <v>19.3</v>
      </c>
      <c r="C149" s="22">
        <v>1.43</v>
      </c>
      <c r="D149" s="22">
        <v>2.56</v>
      </c>
      <c r="E149" s="22">
        <v>1.63</v>
      </c>
      <c r="F149" s="22">
        <v>2.76</v>
      </c>
      <c r="G149" s="22">
        <v>1.05</v>
      </c>
      <c r="H149" s="22">
        <v>1.04</v>
      </c>
    </row>
    <row r="150" spans="2:8" x14ac:dyDescent="0.35">
      <c r="B150" s="57">
        <v>19.399999999999999</v>
      </c>
      <c r="C150" s="22">
        <v>1.44</v>
      </c>
      <c r="D150" s="22">
        <v>2.58</v>
      </c>
      <c r="E150" s="22">
        <v>1.64</v>
      </c>
      <c r="F150" s="22">
        <v>2.78</v>
      </c>
      <c r="G150" s="22">
        <v>1.06</v>
      </c>
      <c r="H150" s="22">
        <v>1.05</v>
      </c>
    </row>
    <row r="151" spans="2:8" x14ac:dyDescent="0.35">
      <c r="B151" s="57">
        <v>19.5</v>
      </c>
      <c r="C151" s="22">
        <v>1.45</v>
      </c>
      <c r="D151" s="22">
        <v>2.6</v>
      </c>
      <c r="E151" s="22">
        <v>1.65</v>
      </c>
      <c r="F151" s="22">
        <v>2.8</v>
      </c>
      <c r="G151" s="22">
        <v>1.07</v>
      </c>
      <c r="H151" s="22">
        <v>1.06</v>
      </c>
    </row>
    <row r="152" spans="2:8" x14ac:dyDescent="0.35">
      <c r="B152" s="57">
        <v>19.600000000000001</v>
      </c>
      <c r="C152" s="22">
        <v>1.46</v>
      </c>
      <c r="D152" s="22">
        <v>2.62</v>
      </c>
      <c r="E152" s="22">
        <v>1.66</v>
      </c>
      <c r="F152" s="22">
        <v>2.82</v>
      </c>
      <c r="G152" s="22">
        <v>1.08</v>
      </c>
      <c r="H152" s="22">
        <v>1.07</v>
      </c>
    </row>
    <row r="153" spans="2:8" x14ac:dyDescent="0.35">
      <c r="B153" s="57">
        <v>19.7</v>
      </c>
      <c r="C153" s="22">
        <v>1.46999999999999</v>
      </c>
      <c r="D153" s="22">
        <v>2.64</v>
      </c>
      <c r="E153" s="22">
        <v>1.67</v>
      </c>
      <c r="F153" s="22">
        <v>2.84</v>
      </c>
      <c r="G153" s="22">
        <v>1.0900000000000001</v>
      </c>
      <c r="H153" s="22">
        <v>1.08</v>
      </c>
    </row>
    <row r="154" spans="2:8" x14ac:dyDescent="0.35">
      <c r="B154" s="57">
        <v>19.8</v>
      </c>
      <c r="C154" s="22">
        <v>1.47999999999999</v>
      </c>
      <c r="D154" s="22">
        <v>2.66</v>
      </c>
      <c r="E154" s="22">
        <v>1.68</v>
      </c>
      <c r="F154" s="22">
        <v>2.86</v>
      </c>
      <c r="G154" s="22">
        <v>1.1000000000000001</v>
      </c>
      <c r="H154" s="22">
        <v>1.0900000000000001</v>
      </c>
    </row>
    <row r="155" spans="2:8" x14ac:dyDescent="0.35">
      <c r="B155" s="57">
        <v>19.899999999999999</v>
      </c>
      <c r="C155" s="22">
        <v>1.48999999999999</v>
      </c>
      <c r="D155" s="22">
        <v>2.68</v>
      </c>
      <c r="E155" s="22">
        <v>1.69</v>
      </c>
      <c r="F155" s="22">
        <v>2.88</v>
      </c>
      <c r="G155" s="22">
        <v>1.1100000000000001</v>
      </c>
      <c r="H155" s="22">
        <v>1.1000000000000001</v>
      </c>
    </row>
    <row r="156" spans="2:8" x14ac:dyDescent="0.35">
      <c r="B156" s="57">
        <v>20</v>
      </c>
      <c r="C156" s="22">
        <v>1.49999999999999</v>
      </c>
      <c r="D156" s="22">
        <v>2.7</v>
      </c>
      <c r="E156" s="22">
        <v>1.7</v>
      </c>
      <c r="F156" s="22">
        <v>2.9</v>
      </c>
      <c r="G156" s="22">
        <v>1.1200000000000001</v>
      </c>
      <c r="H156" s="22">
        <v>1.1100000000000001</v>
      </c>
    </row>
    <row r="160" spans="2:8" x14ac:dyDescent="0.35">
      <c r="B160" s="88" t="s">
        <v>43</v>
      </c>
      <c r="C160" s="88"/>
      <c r="D160" s="88"/>
      <c r="E160" s="88"/>
      <c r="F160" s="88"/>
    </row>
    <row r="161" spans="2:6" x14ac:dyDescent="0.35">
      <c r="B161" s="1" t="s">
        <v>23</v>
      </c>
      <c r="C161" s="1" t="s">
        <v>65</v>
      </c>
      <c r="D161" s="1" t="s">
        <v>44</v>
      </c>
      <c r="E161" s="1" t="s">
        <v>45</v>
      </c>
      <c r="F161" s="1" t="s">
        <v>46</v>
      </c>
    </row>
    <row r="162" spans="2:6" x14ac:dyDescent="0.35">
      <c r="B162" s="22">
        <v>0.16300000000000001</v>
      </c>
      <c r="C162" s="22">
        <v>25</v>
      </c>
      <c r="D162" s="22">
        <v>0.51100000000000001</v>
      </c>
      <c r="E162" s="22">
        <v>0.45500000000000002</v>
      </c>
      <c r="F162" s="22">
        <f>(D162-E162)</f>
        <v>5.5999999999999994E-2</v>
      </c>
    </row>
    <row r="163" spans="2:6" x14ac:dyDescent="0.35">
      <c r="B163" s="22">
        <v>0.20499999999999999</v>
      </c>
      <c r="C163" s="22">
        <v>24</v>
      </c>
      <c r="D163" s="22">
        <v>0.56899999999999995</v>
      </c>
      <c r="E163" s="22">
        <v>0.51100000000000001</v>
      </c>
      <c r="F163" s="22">
        <f t="shared" ref="F163:F179" si="6">(D163-E163)</f>
        <v>5.799999999999994E-2</v>
      </c>
    </row>
    <row r="164" spans="2:6" x14ac:dyDescent="0.35">
      <c r="B164" s="22">
        <v>0.25900000000000001</v>
      </c>
      <c r="C164" s="22">
        <v>23</v>
      </c>
      <c r="D164" s="22">
        <v>0.63200000000000001</v>
      </c>
      <c r="E164" s="22">
        <v>0.57399999999999995</v>
      </c>
      <c r="F164" s="22">
        <f t="shared" si="6"/>
        <v>5.8000000000000052E-2</v>
      </c>
    </row>
    <row r="165" spans="2:6" x14ac:dyDescent="0.35">
      <c r="B165" s="22">
        <v>0.32400000000000001</v>
      </c>
      <c r="C165" s="22">
        <v>22</v>
      </c>
      <c r="D165" s="22">
        <v>0.70399999999999996</v>
      </c>
      <c r="E165" s="22">
        <v>0.64300000000000002</v>
      </c>
      <c r="F165" s="22">
        <f t="shared" si="6"/>
        <v>6.0999999999999943E-2</v>
      </c>
    </row>
    <row r="166" spans="2:6" x14ac:dyDescent="0.35">
      <c r="B166" s="22">
        <v>0.41199999999999998</v>
      </c>
      <c r="C166" s="22">
        <v>21</v>
      </c>
      <c r="D166" s="22">
        <v>0.78700000000000003</v>
      </c>
      <c r="E166" s="22">
        <v>0.72399999999999998</v>
      </c>
      <c r="F166" s="22">
        <f t="shared" si="6"/>
        <v>6.3000000000000056E-2</v>
      </c>
    </row>
    <row r="167" spans="2:6" x14ac:dyDescent="0.35">
      <c r="B167" s="22">
        <v>0.51900000000000002</v>
      </c>
      <c r="C167" s="22">
        <v>20</v>
      </c>
      <c r="D167" s="22">
        <v>0.879</v>
      </c>
      <c r="E167" s="22">
        <v>0.81299999999999994</v>
      </c>
      <c r="F167" s="22">
        <f t="shared" si="6"/>
        <v>6.6000000000000059E-2</v>
      </c>
    </row>
    <row r="168" spans="2:6" x14ac:dyDescent="0.35">
      <c r="B168" s="22">
        <v>0.65300000000000002</v>
      </c>
      <c r="C168" s="22">
        <v>19</v>
      </c>
      <c r="D168" s="22">
        <v>0.98299999999999998</v>
      </c>
      <c r="E168" s="22">
        <v>0.91200000000000003</v>
      </c>
      <c r="F168" s="22">
        <f t="shared" si="6"/>
        <v>7.0999999999999952E-2</v>
      </c>
    </row>
    <row r="169" spans="2:6" x14ac:dyDescent="0.35">
      <c r="B169" s="22">
        <v>0.82299999999999995</v>
      </c>
      <c r="C169" s="22">
        <v>18</v>
      </c>
      <c r="D169" s="22">
        <v>1.097</v>
      </c>
      <c r="E169" s="22">
        <v>1.024</v>
      </c>
      <c r="F169" s="22">
        <f t="shared" si="6"/>
        <v>7.2999999999999954E-2</v>
      </c>
    </row>
    <row r="170" spans="2:6" x14ac:dyDescent="0.35">
      <c r="B170" s="22">
        <v>1.04</v>
      </c>
      <c r="C170" s="22">
        <v>17</v>
      </c>
      <c r="D170" s="22">
        <v>1.2270000000000001</v>
      </c>
      <c r="E170" s="22">
        <v>1.151</v>
      </c>
      <c r="F170" s="22">
        <f t="shared" si="6"/>
        <v>7.6000000000000068E-2</v>
      </c>
    </row>
    <row r="171" spans="2:6" x14ac:dyDescent="0.35">
      <c r="B171" s="22">
        <v>1.3069999999999999</v>
      </c>
      <c r="C171" s="22">
        <v>16</v>
      </c>
      <c r="D171" s="22">
        <v>1.367</v>
      </c>
      <c r="E171" s="22">
        <v>1.29</v>
      </c>
      <c r="F171" s="22">
        <f t="shared" si="6"/>
        <v>7.6999999999999957E-2</v>
      </c>
    </row>
    <row r="172" spans="2:6" x14ac:dyDescent="0.35">
      <c r="B172" s="22">
        <v>1.651</v>
      </c>
      <c r="C172" s="22">
        <v>15</v>
      </c>
      <c r="D172" s="22">
        <v>1.5289999999999999</v>
      </c>
      <c r="E172" s="22">
        <v>1.45</v>
      </c>
      <c r="F172" s="22">
        <f t="shared" si="6"/>
        <v>7.8999999999999959E-2</v>
      </c>
    </row>
    <row r="173" spans="2:6" x14ac:dyDescent="0.35">
      <c r="B173" s="22">
        <v>2.0819999999999999</v>
      </c>
      <c r="C173" s="22">
        <v>14</v>
      </c>
      <c r="D173" s="22">
        <v>1.7090000000000001</v>
      </c>
      <c r="E173" s="22">
        <v>1.6279999999999999</v>
      </c>
      <c r="F173" s="22">
        <f t="shared" si="6"/>
        <v>8.1000000000000183E-2</v>
      </c>
    </row>
    <row r="174" spans="2:6" x14ac:dyDescent="0.35">
      <c r="B174" s="22">
        <v>2.6269999999999998</v>
      </c>
      <c r="C174" s="22">
        <v>13</v>
      </c>
      <c r="D174" s="22">
        <v>1.913</v>
      </c>
      <c r="E174" s="22">
        <v>1.829</v>
      </c>
      <c r="F174" s="22">
        <f t="shared" si="6"/>
        <v>8.4000000000000075E-2</v>
      </c>
    </row>
    <row r="175" spans="2:6" x14ac:dyDescent="0.35">
      <c r="B175" s="22">
        <v>3.3069999999999999</v>
      </c>
      <c r="C175" s="22">
        <v>12</v>
      </c>
      <c r="D175" s="22">
        <v>2.1389999999999998</v>
      </c>
      <c r="E175" s="22">
        <v>2.052</v>
      </c>
      <c r="F175" s="22">
        <f t="shared" si="6"/>
        <v>8.6999999999999744E-2</v>
      </c>
    </row>
    <row r="176" spans="2:6" x14ac:dyDescent="0.35">
      <c r="B176" s="22">
        <v>4.1689999999999996</v>
      </c>
      <c r="C176" s="22">
        <v>11</v>
      </c>
      <c r="D176" s="22">
        <v>2.39</v>
      </c>
      <c r="E176" s="22">
        <v>2.3039999999999998</v>
      </c>
      <c r="F176" s="22">
        <f t="shared" si="6"/>
        <v>8.6000000000000298E-2</v>
      </c>
    </row>
    <row r="177" spans="2:6" x14ac:dyDescent="0.35">
      <c r="B177" s="22">
        <v>5.2610000000000001</v>
      </c>
      <c r="C177" s="22">
        <v>10</v>
      </c>
      <c r="D177" s="22">
        <v>2.68</v>
      </c>
      <c r="E177" s="22">
        <v>2.5880000000000001</v>
      </c>
      <c r="F177" s="22">
        <f t="shared" si="6"/>
        <v>9.2000000000000082E-2</v>
      </c>
    </row>
    <row r="178" spans="2:6" x14ac:dyDescent="0.35">
      <c r="B178" s="22">
        <v>6.6310000000000002</v>
      </c>
      <c r="C178" s="22">
        <v>9</v>
      </c>
      <c r="D178" s="22">
        <v>2.99</v>
      </c>
      <c r="E178" s="22">
        <v>2.9060000000000001</v>
      </c>
      <c r="F178" s="22">
        <f t="shared" si="6"/>
        <v>8.4000000000000075E-2</v>
      </c>
    </row>
    <row r="179" spans="2:6" x14ac:dyDescent="0.35">
      <c r="B179" s="22">
        <v>8.3670000000000009</v>
      </c>
      <c r="C179" s="22">
        <v>8</v>
      </c>
      <c r="D179" s="22">
        <v>3.36</v>
      </c>
      <c r="E179" s="22">
        <v>3.2639999999999998</v>
      </c>
      <c r="F179" s="22">
        <f t="shared" si="6"/>
        <v>9.6000000000000085E-2</v>
      </c>
    </row>
    <row r="180" spans="2:6" x14ac:dyDescent="0.35">
      <c r="B180" s="108"/>
      <c r="C180" s="108"/>
      <c r="D180" s="108"/>
      <c r="E180" s="108"/>
      <c r="F180" s="108"/>
    </row>
    <row r="181" spans="2:6" x14ac:dyDescent="0.35">
      <c r="B181" s="88" t="s">
        <v>51</v>
      </c>
      <c r="C181" s="88"/>
      <c r="D181" s="88"/>
      <c r="E181" s="88"/>
      <c r="F181" s="88"/>
    </row>
    <row r="182" spans="2:6" x14ac:dyDescent="0.35">
      <c r="B182" s="1" t="s">
        <v>23</v>
      </c>
      <c r="C182" s="1" t="s">
        <v>65</v>
      </c>
      <c r="D182" s="1" t="s">
        <v>54</v>
      </c>
      <c r="E182" s="1" t="s">
        <v>53</v>
      </c>
      <c r="F182" s="1" t="s">
        <v>46</v>
      </c>
    </row>
    <row r="183" spans="2:6" x14ac:dyDescent="0.35">
      <c r="B183" s="22">
        <f>D183*E183</f>
        <v>12</v>
      </c>
      <c r="C183" s="22" t="s">
        <v>47</v>
      </c>
      <c r="D183" s="22">
        <v>4</v>
      </c>
      <c r="E183" s="22">
        <v>3</v>
      </c>
      <c r="F183" s="22">
        <v>7.4999999999999997E-2</v>
      </c>
    </row>
    <row r="184" spans="2:6" x14ac:dyDescent="0.35">
      <c r="B184" s="22">
        <f t="shared" ref="B184:B186" si="7">D184*E184</f>
        <v>18</v>
      </c>
      <c r="C184" s="22" t="s">
        <v>48</v>
      </c>
      <c r="D184" s="22">
        <v>6</v>
      </c>
      <c r="E184" s="22">
        <v>3</v>
      </c>
      <c r="F184" s="22">
        <v>7.4999999999999997E-2</v>
      </c>
    </row>
    <row r="185" spans="2:6" x14ac:dyDescent="0.35">
      <c r="B185" s="22">
        <f t="shared" si="7"/>
        <v>24</v>
      </c>
      <c r="C185" s="22" t="s">
        <v>52</v>
      </c>
      <c r="D185" s="22">
        <v>6</v>
      </c>
      <c r="E185" s="22">
        <v>4</v>
      </c>
      <c r="F185" s="22">
        <v>7.4999999999999997E-2</v>
      </c>
    </row>
    <row r="186" spans="2:6" x14ac:dyDescent="0.35">
      <c r="B186" s="22">
        <f t="shared" si="7"/>
        <v>32</v>
      </c>
      <c r="C186" s="22" t="s">
        <v>49</v>
      </c>
      <c r="D186" s="22">
        <v>8</v>
      </c>
      <c r="E186" s="22">
        <v>4</v>
      </c>
      <c r="F186" s="22">
        <v>7.4999999999999997E-2</v>
      </c>
    </row>
    <row r="187" spans="2:6" x14ac:dyDescent="0.35">
      <c r="B187" s="22">
        <f>D187*E187</f>
        <v>40</v>
      </c>
      <c r="C187" s="22" t="s">
        <v>50</v>
      </c>
      <c r="D187" s="22">
        <v>10</v>
      </c>
      <c r="E187" s="22">
        <v>4</v>
      </c>
      <c r="F187" s="22">
        <v>7.4999999999999997E-2</v>
      </c>
    </row>
    <row r="188" spans="2:6" x14ac:dyDescent="0.35">
      <c r="B188" s="108"/>
      <c r="C188" s="108"/>
      <c r="D188" s="108"/>
      <c r="E188" s="108"/>
      <c r="F188" s="108"/>
    </row>
    <row r="189" spans="2:6" x14ac:dyDescent="0.35">
      <c r="B189" s="88" t="s">
        <v>55</v>
      </c>
      <c r="C189" s="88"/>
      <c r="D189" s="88"/>
      <c r="E189" s="88"/>
      <c r="F189" s="88"/>
    </row>
    <row r="190" spans="2:6" x14ac:dyDescent="0.35">
      <c r="B190" s="1" t="s">
        <v>23</v>
      </c>
      <c r="C190" s="1" t="s">
        <v>65</v>
      </c>
      <c r="D190" s="1" t="s">
        <v>54</v>
      </c>
      <c r="E190" s="1" t="s">
        <v>53</v>
      </c>
      <c r="F190" s="1" t="s">
        <v>46</v>
      </c>
    </row>
    <row r="191" spans="2:6" x14ac:dyDescent="0.35">
      <c r="B191" s="22">
        <f t="shared" ref="B191:B193" si="8">D191*E191</f>
        <v>18</v>
      </c>
      <c r="C191" s="22" t="s">
        <v>48</v>
      </c>
      <c r="D191" s="22">
        <v>6</v>
      </c>
      <c r="E191" s="22">
        <v>3</v>
      </c>
      <c r="F191" s="22">
        <v>7.4999999999999997E-2</v>
      </c>
    </row>
    <row r="192" spans="2:6" x14ac:dyDescent="0.35">
      <c r="B192" s="22">
        <f t="shared" si="8"/>
        <v>32</v>
      </c>
      <c r="C192" s="22" t="s">
        <v>49</v>
      </c>
      <c r="D192" s="22">
        <v>8</v>
      </c>
      <c r="E192" s="22">
        <v>4</v>
      </c>
      <c r="F192" s="22">
        <v>7.4999999999999997E-2</v>
      </c>
    </row>
    <row r="193" spans="2:6" x14ac:dyDescent="0.35">
      <c r="B193" s="22">
        <f t="shared" si="8"/>
        <v>40</v>
      </c>
      <c r="C193" s="22" t="s">
        <v>50</v>
      </c>
      <c r="D193" s="22">
        <v>10</v>
      </c>
      <c r="E193" s="22">
        <v>4</v>
      </c>
      <c r="F193" s="22">
        <v>7.4999999999999997E-2</v>
      </c>
    </row>
    <row r="194" spans="2:6" x14ac:dyDescent="0.35">
      <c r="B194" s="108"/>
      <c r="C194" s="108"/>
      <c r="D194" s="108"/>
      <c r="E194" s="108"/>
      <c r="F194" s="108"/>
    </row>
    <row r="195" spans="2:6" x14ac:dyDescent="0.35">
      <c r="B195" s="88" t="s">
        <v>56</v>
      </c>
      <c r="C195" s="88"/>
      <c r="D195" s="88"/>
      <c r="E195" s="88"/>
      <c r="F195" s="88"/>
    </row>
    <row r="196" spans="2:6" x14ac:dyDescent="0.35">
      <c r="B196" s="1" t="s">
        <v>23</v>
      </c>
      <c r="C196" s="1" t="s">
        <v>65</v>
      </c>
      <c r="D196" s="1" t="s">
        <v>54</v>
      </c>
      <c r="E196" s="1" t="s">
        <v>53</v>
      </c>
      <c r="F196" s="1" t="s">
        <v>46</v>
      </c>
    </row>
    <row r="197" spans="2:6" x14ac:dyDescent="0.35">
      <c r="B197" s="22">
        <f>B183+B178</f>
        <v>18.631</v>
      </c>
      <c r="C197" s="22" t="s">
        <v>57</v>
      </c>
      <c r="D197" s="22">
        <f>D183+E178</f>
        <v>6.9060000000000006</v>
      </c>
      <c r="E197" s="22">
        <v>3</v>
      </c>
      <c r="F197" s="22">
        <f>F183+F178</f>
        <v>0.15900000000000009</v>
      </c>
    </row>
    <row r="198" spans="2:6" x14ac:dyDescent="0.35">
      <c r="B198" s="22">
        <f>B184+B178</f>
        <v>24.631</v>
      </c>
      <c r="C198" s="22" t="s">
        <v>58</v>
      </c>
      <c r="D198" s="22">
        <f>D184+E178</f>
        <v>8.9060000000000006</v>
      </c>
      <c r="E198" s="22">
        <v>3</v>
      </c>
      <c r="F198" s="22">
        <f>F184+F178</f>
        <v>0.15900000000000009</v>
      </c>
    </row>
    <row r="199" spans="2:6" x14ac:dyDescent="0.35">
      <c r="B199" s="22">
        <f>B185+B179</f>
        <v>32.367000000000004</v>
      </c>
      <c r="C199" s="22" t="s">
        <v>59</v>
      </c>
      <c r="D199" s="22">
        <f>D185+E179</f>
        <v>9.2639999999999993</v>
      </c>
      <c r="E199" s="22">
        <v>4</v>
      </c>
      <c r="F199" s="22">
        <f>F185+F179</f>
        <v>0.1710000000000001</v>
      </c>
    </row>
    <row r="200" spans="2:6" x14ac:dyDescent="0.35">
      <c r="B200" s="22">
        <f>B186+B179</f>
        <v>40.367000000000004</v>
      </c>
      <c r="C200" s="22" t="s">
        <v>60</v>
      </c>
      <c r="D200" s="22">
        <f>D186+E179</f>
        <v>11.263999999999999</v>
      </c>
      <c r="E200" s="22">
        <v>4</v>
      </c>
      <c r="F200" s="22">
        <f>F186+F179</f>
        <v>0.1710000000000001</v>
      </c>
    </row>
    <row r="201" spans="2:6" x14ac:dyDescent="0.35">
      <c r="B201" s="22">
        <f t="shared" ref="B201" si="9">D201*E201</f>
        <v>193.46800000000002</v>
      </c>
      <c r="C201" s="22" t="s">
        <v>61</v>
      </c>
      <c r="D201" s="22">
        <f>B187+B179</f>
        <v>48.367000000000004</v>
      </c>
      <c r="E201" s="22">
        <v>4</v>
      </c>
      <c r="F201" s="22">
        <f>F187+F179</f>
        <v>0.1710000000000001</v>
      </c>
    </row>
    <row r="202" spans="2:6" x14ac:dyDescent="0.35">
      <c r="B202" s="108"/>
      <c r="C202" s="108"/>
      <c r="D202" s="108"/>
      <c r="E202" s="108"/>
      <c r="F202" s="108"/>
    </row>
    <row r="203" spans="2:6" x14ac:dyDescent="0.35">
      <c r="B203" s="88" t="s">
        <v>62</v>
      </c>
      <c r="C203" s="88"/>
      <c r="D203" s="88"/>
      <c r="E203" s="88"/>
      <c r="F203" s="88"/>
    </row>
    <row r="204" spans="2:6" x14ac:dyDescent="0.35">
      <c r="B204" s="1" t="s">
        <v>23</v>
      </c>
      <c r="C204" s="1" t="s">
        <v>65</v>
      </c>
      <c r="D204" s="1" t="s">
        <v>54</v>
      </c>
      <c r="E204" s="1" t="s">
        <v>53</v>
      </c>
      <c r="F204" s="1" t="s">
        <v>46</v>
      </c>
    </row>
    <row r="205" spans="2:6" x14ac:dyDescent="0.35">
      <c r="B205" s="22">
        <f>B191+B178</f>
        <v>24.631</v>
      </c>
      <c r="C205" s="22" t="s">
        <v>58</v>
      </c>
      <c r="D205" s="22">
        <f>D191+E178</f>
        <v>8.9060000000000006</v>
      </c>
      <c r="E205" s="22">
        <v>3</v>
      </c>
      <c r="F205" s="22">
        <f>F191+F178</f>
        <v>0.15900000000000009</v>
      </c>
    </row>
    <row r="206" spans="2:6" x14ac:dyDescent="0.35">
      <c r="B206" s="22">
        <f>B192+B179</f>
        <v>40.367000000000004</v>
      </c>
      <c r="C206" s="22" t="s">
        <v>63</v>
      </c>
      <c r="D206" s="22">
        <f>D192+E179</f>
        <v>11.263999999999999</v>
      </c>
      <c r="E206" s="22">
        <v>4</v>
      </c>
      <c r="F206" s="22">
        <f>F192+F179</f>
        <v>0.1710000000000001</v>
      </c>
    </row>
    <row r="207" spans="2:6" x14ac:dyDescent="0.35">
      <c r="B207" s="22">
        <f>B193+B179</f>
        <v>48.367000000000004</v>
      </c>
      <c r="C207" s="22" t="s">
        <v>64</v>
      </c>
      <c r="D207" s="22">
        <f>D193+E179</f>
        <v>13.263999999999999</v>
      </c>
      <c r="E207" s="22">
        <v>4</v>
      </c>
      <c r="F207" s="22">
        <f>F193+F179</f>
        <v>0.1710000000000001</v>
      </c>
    </row>
    <row r="208" spans="2:6" x14ac:dyDescent="0.35">
      <c r="B208" s="115"/>
      <c r="C208" s="115"/>
      <c r="D208" s="115"/>
      <c r="E208" s="115"/>
      <c r="F208" s="115"/>
    </row>
    <row r="209" spans="2:6" x14ac:dyDescent="0.35">
      <c r="B209" s="88" t="s">
        <v>29</v>
      </c>
      <c r="C209" s="88"/>
      <c r="D209" s="88"/>
      <c r="E209" s="88"/>
      <c r="F209" s="113"/>
    </row>
    <row r="210" spans="2:6" x14ac:dyDescent="0.35">
      <c r="B210" s="1" t="s">
        <v>23</v>
      </c>
      <c r="C210" s="1" t="s">
        <v>65</v>
      </c>
      <c r="D210" s="1" t="s">
        <v>36</v>
      </c>
      <c r="E210" s="1" t="s">
        <v>37</v>
      </c>
      <c r="F210" s="112"/>
    </row>
    <row r="211" spans="2:6" x14ac:dyDescent="0.35">
      <c r="B211" s="22">
        <f>D211*E211</f>
        <v>23.1</v>
      </c>
      <c r="C211" s="22" t="s">
        <v>30</v>
      </c>
      <c r="D211" s="22">
        <v>105</v>
      </c>
      <c r="E211" s="22">
        <v>0.22</v>
      </c>
      <c r="F211" s="112"/>
    </row>
    <row r="212" spans="2:6" x14ac:dyDescent="0.35">
      <c r="B212" s="22">
        <f t="shared" ref="B212:B216" si="10">D212*E212</f>
        <v>41.6</v>
      </c>
      <c r="C212" s="22" t="s">
        <v>31</v>
      </c>
      <c r="D212" s="22">
        <v>130</v>
      </c>
      <c r="E212" s="22">
        <v>0.32</v>
      </c>
      <c r="F212" s="112"/>
    </row>
    <row r="213" spans="2:6" x14ac:dyDescent="0.35">
      <c r="B213" s="22">
        <f t="shared" si="10"/>
        <v>75</v>
      </c>
      <c r="C213" s="22" t="s">
        <v>32</v>
      </c>
      <c r="D213" s="22">
        <v>150</v>
      </c>
      <c r="E213" s="22">
        <v>0.5</v>
      </c>
      <c r="F213" s="112"/>
    </row>
    <row r="214" spans="2:6" x14ac:dyDescent="0.35">
      <c r="B214" s="22">
        <f t="shared" si="10"/>
        <v>104</v>
      </c>
      <c r="C214" s="22" t="s">
        <v>34</v>
      </c>
      <c r="D214" s="22">
        <v>160</v>
      </c>
      <c r="E214" s="22">
        <v>0.65</v>
      </c>
      <c r="F214" s="112"/>
    </row>
    <row r="215" spans="2:6" x14ac:dyDescent="0.35">
      <c r="B215" s="22">
        <f t="shared" si="10"/>
        <v>153</v>
      </c>
      <c r="C215" s="22" t="s">
        <v>33</v>
      </c>
      <c r="D215" s="22">
        <v>170</v>
      </c>
      <c r="E215" s="22">
        <v>0.9</v>
      </c>
      <c r="F215" s="112"/>
    </row>
    <row r="216" spans="2:6" x14ac:dyDescent="0.35">
      <c r="B216" s="22">
        <f t="shared" si="10"/>
        <v>760</v>
      </c>
      <c r="C216" s="22" t="s">
        <v>35</v>
      </c>
      <c r="D216" s="22">
        <v>380</v>
      </c>
      <c r="E216" s="22">
        <v>2</v>
      </c>
      <c r="F216" s="112"/>
    </row>
    <row r="217" spans="2:6" x14ac:dyDescent="0.35">
      <c r="B217" s="115"/>
      <c r="C217" s="115"/>
      <c r="D217" s="115"/>
      <c r="E217" s="115"/>
      <c r="F217" s="115"/>
    </row>
    <row r="218" spans="2:6" x14ac:dyDescent="0.35">
      <c r="B218" s="88" t="s">
        <v>38</v>
      </c>
      <c r="C218" s="88"/>
      <c r="D218" s="88"/>
      <c r="E218" s="88"/>
      <c r="F218" s="113"/>
    </row>
    <row r="219" spans="2:6" x14ac:dyDescent="0.35">
      <c r="B219" s="1" t="s">
        <v>23</v>
      </c>
      <c r="C219" s="1" t="s">
        <v>65</v>
      </c>
      <c r="D219" s="1" t="s">
        <v>36</v>
      </c>
      <c r="E219" s="1" t="s">
        <v>37</v>
      </c>
      <c r="F219" s="115"/>
    </row>
    <row r="220" spans="2:6" x14ac:dyDescent="0.35">
      <c r="B220" s="22">
        <f>D220*E220</f>
        <v>37.799999999999997</v>
      </c>
      <c r="C220" s="22" t="s">
        <v>39</v>
      </c>
      <c r="D220" s="22">
        <v>105</v>
      </c>
      <c r="E220" s="22">
        <v>0.36</v>
      </c>
      <c r="F220" s="115"/>
    </row>
    <row r="221" spans="2:6" x14ac:dyDescent="0.35">
      <c r="B221" s="22">
        <f t="shared" ref="B221:B225" si="11">D221*E221</f>
        <v>68.900000000000006</v>
      </c>
      <c r="C221" s="22" t="s">
        <v>40</v>
      </c>
      <c r="D221" s="22">
        <v>130</v>
      </c>
      <c r="E221" s="22">
        <v>0.53</v>
      </c>
      <c r="F221" s="115"/>
    </row>
    <row r="222" spans="2:6" x14ac:dyDescent="0.35">
      <c r="B222" s="22">
        <f t="shared" si="11"/>
        <v>37.5</v>
      </c>
      <c r="C222" s="22" t="s">
        <v>41</v>
      </c>
      <c r="D222" s="22">
        <v>150</v>
      </c>
      <c r="E222" s="22">
        <v>0.25</v>
      </c>
      <c r="F222" s="115"/>
    </row>
    <row r="223" spans="2:6" x14ac:dyDescent="0.35">
      <c r="B223" s="22">
        <f t="shared" si="11"/>
        <v>75</v>
      </c>
      <c r="C223" s="22" t="s">
        <v>32</v>
      </c>
      <c r="D223" s="22">
        <v>150</v>
      </c>
      <c r="E223" s="22">
        <v>0.5</v>
      </c>
      <c r="F223" s="115"/>
    </row>
    <row r="224" spans="2:6" x14ac:dyDescent="0.35">
      <c r="B224" s="22">
        <f t="shared" si="11"/>
        <v>153</v>
      </c>
      <c r="C224" s="22" t="s">
        <v>33</v>
      </c>
      <c r="D224" s="22">
        <v>170</v>
      </c>
      <c r="E224" s="22">
        <v>0.9</v>
      </c>
      <c r="F224" s="115"/>
    </row>
    <row r="225" spans="2:6" x14ac:dyDescent="0.35">
      <c r="B225" s="22">
        <f t="shared" si="11"/>
        <v>126</v>
      </c>
      <c r="C225" s="22" t="s">
        <v>42</v>
      </c>
      <c r="D225" s="22">
        <v>210</v>
      </c>
      <c r="E225" s="22">
        <v>0.6</v>
      </c>
      <c r="F225" s="115"/>
    </row>
    <row r="228" spans="2:6" x14ac:dyDescent="0.35">
      <c r="B228" s="88" t="s">
        <v>145</v>
      </c>
      <c r="C228" s="88"/>
      <c r="D228" s="137"/>
    </row>
    <row r="229" spans="2:6" x14ac:dyDescent="0.35">
      <c r="B229" s="1" t="s">
        <v>140</v>
      </c>
      <c r="C229" s="1" t="s">
        <v>141</v>
      </c>
    </row>
    <row r="230" spans="2:6" x14ac:dyDescent="0.35">
      <c r="B230" s="22" t="s">
        <v>142</v>
      </c>
      <c r="C230" s="22">
        <v>7.5999999999999998E-2</v>
      </c>
    </row>
    <row r="231" spans="2:6" x14ac:dyDescent="0.35">
      <c r="B231" s="22" t="s">
        <v>142</v>
      </c>
      <c r="C231" s="22">
        <v>1.2999999999999999E-2</v>
      </c>
    </row>
    <row r="232" spans="2:6" x14ac:dyDescent="0.35">
      <c r="B232" s="22" t="s">
        <v>142</v>
      </c>
      <c r="C232" s="22">
        <v>2.5000000000000001E-2</v>
      </c>
    </row>
    <row r="233" spans="2:6" x14ac:dyDescent="0.35">
      <c r="B233" s="22" t="s">
        <v>143</v>
      </c>
      <c r="C233" s="22">
        <v>2.1999999999999999E-2</v>
      </c>
    </row>
    <row r="234" spans="2:6" x14ac:dyDescent="0.35">
      <c r="B234" s="22" t="s">
        <v>144</v>
      </c>
      <c r="C234" s="22">
        <v>2.5999999999999999E-2</v>
      </c>
    </row>
  </sheetData>
  <mergeCells count="10">
    <mergeCell ref="B228:C228"/>
    <mergeCell ref="B195:F195"/>
    <mergeCell ref="B203:F203"/>
    <mergeCell ref="B209:E209"/>
    <mergeCell ref="B218:E218"/>
    <mergeCell ref="B44:H44"/>
    <mergeCell ref="B2:C2"/>
    <mergeCell ref="B160:F160"/>
    <mergeCell ref="B181:F181"/>
    <mergeCell ref="B189:F189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E425B-5DB4-4273-A4AF-8969DD040FEB}">
  <dimension ref="B5:E5"/>
  <sheetViews>
    <sheetView zoomScale="160" zoomScaleNormal="160" workbookViewId="0">
      <selection activeCell="B11" sqref="B11"/>
    </sheetView>
  </sheetViews>
  <sheetFormatPr baseColWidth="10" defaultRowHeight="14.5" x14ac:dyDescent="0.35"/>
  <sheetData>
    <row r="5" spans="2:5" x14ac:dyDescent="0.35">
      <c r="B5" s="106" t="s">
        <v>98</v>
      </c>
      <c r="C5" s="106"/>
      <c r="D5" s="106"/>
      <c r="E5" s="106"/>
    </row>
  </sheetData>
  <mergeCells count="1">
    <mergeCell ref="B5:E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F3F08-8467-486F-B566-889E5BB631F4}">
  <dimension ref="A1:Z170"/>
  <sheetViews>
    <sheetView zoomScale="120" zoomScaleNormal="120" workbookViewId="0">
      <pane ySplit="2" topLeftCell="A99" activePane="bottomLeft" state="frozen"/>
      <selection pane="bottomLeft" activeCell="C82" sqref="C82"/>
    </sheetView>
  </sheetViews>
  <sheetFormatPr baseColWidth="10" defaultRowHeight="14.5" x14ac:dyDescent="0.35"/>
  <cols>
    <col min="1" max="1" width="4.26953125" customWidth="1"/>
    <col min="2" max="2" width="30" customWidth="1"/>
    <col min="3" max="3" width="11.81640625" bestFit="1" customWidth="1"/>
    <col min="4" max="4" width="20.7265625" customWidth="1"/>
    <col min="5" max="5" width="29.453125" customWidth="1"/>
    <col min="6" max="6" width="20.08984375" customWidth="1"/>
    <col min="7" max="7" width="16.90625" customWidth="1"/>
    <col min="8" max="8" width="8" customWidth="1"/>
    <col min="9" max="9" width="8.7265625" customWidth="1"/>
    <col min="12" max="12" width="4.7265625" customWidth="1"/>
    <col min="15" max="15" width="3.6328125" customWidth="1"/>
    <col min="18" max="18" width="3.08984375" customWidth="1"/>
    <col min="21" max="21" width="3.6328125" customWidth="1"/>
    <col min="24" max="24" width="3.81640625" customWidth="1"/>
  </cols>
  <sheetData>
    <row r="1" spans="1:9" x14ac:dyDescent="0.35">
      <c r="B1" s="64" t="s">
        <v>118</v>
      </c>
      <c r="C1" s="64">
        <v>0</v>
      </c>
      <c r="D1" s="64" t="s">
        <v>119</v>
      </c>
      <c r="E1" s="64">
        <v>0</v>
      </c>
      <c r="F1" s="64" t="s">
        <v>120</v>
      </c>
      <c r="G1" s="64">
        <v>0</v>
      </c>
      <c r="H1" s="63" t="s">
        <v>121</v>
      </c>
      <c r="I1" s="63">
        <v>0</v>
      </c>
    </row>
    <row r="2" spans="1:9" s="62" customFormat="1" x14ac:dyDescent="0.35">
      <c r="A2" s="107"/>
      <c r="B2" s="64"/>
      <c r="C2" s="64"/>
      <c r="D2" s="64"/>
      <c r="E2" s="64"/>
      <c r="F2" s="64"/>
      <c r="G2" s="64"/>
      <c r="H2" s="63"/>
      <c r="I2" s="63"/>
    </row>
    <row r="4" spans="1:9" x14ac:dyDescent="0.35">
      <c r="B4" s="6" t="s">
        <v>11</v>
      </c>
    </row>
    <row r="6" spans="1:9" ht="15" thickBot="1" x14ac:dyDescent="0.4">
      <c r="B6" s="8" t="s">
        <v>18</v>
      </c>
    </row>
    <row r="7" spans="1:9" x14ac:dyDescent="0.35">
      <c r="B7" s="69" t="s">
        <v>0</v>
      </c>
      <c r="C7" s="70">
        <v>3000</v>
      </c>
      <c r="D7" s="10"/>
    </row>
    <row r="8" spans="1:9" x14ac:dyDescent="0.35">
      <c r="B8" s="71" t="s">
        <v>25</v>
      </c>
      <c r="C8" s="46">
        <v>20</v>
      </c>
      <c r="D8" s="12"/>
    </row>
    <row r="9" spans="1:9" x14ac:dyDescent="0.35">
      <c r="B9" s="71" t="s">
        <v>1</v>
      </c>
      <c r="C9" s="46">
        <v>50</v>
      </c>
      <c r="D9" s="12"/>
    </row>
    <row r="10" spans="1:9" x14ac:dyDescent="0.35">
      <c r="B10" s="71" t="s">
        <v>12</v>
      </c>
      <c r="C10" s="46">
        <v>10</v>
      </c>
      <c r="D10" s="12"/>
    </row>
    <row r="11" spans="1:9" x14ac:dyDescent="0.35">
      <c r="B11" s="71" t="s">
        <v>2</v>
      </c>
      <c r="C11" s="49">
        <f>C8*(VLOOKUP(C7,B14:C21,2,TRUE))</f>
        <v>36</v>
      </c>
      <c r="D11" s="12"/>
    </row>
    <row r="12" spans="1:9" x14ac:dyDescent="0.35">
      <c r="B12" s="11"/>
      <c r="C12" s="6"/>
      <c r="D12" s="12"/>
    </row>
    <row r="13" spans="1:9" hidden="1" x14ac:dyDescent="0.35">
      <c r="B13" s="97" t="s">
        <v>24</v>
      </c>
      <c r="C13" s="98"/>
      <c r="D13" s="12"/>
    </row>
    <row r="14" spans="1:9" hidden="1" x14ac:dyDescent="0.35">
      <c r="B14" s="13">
        <v>1000</v>
      </c>
      <c r="C14">
        <v>1.1000000000000001</v>
      </c>
      <c r="D14" s="12"/>
    </row>
    <row r="15" spans="1:9" hidden="1" x14ac:dyDescent="0.35">
      <c r="B15" s="13">
        <v>1500</v>
      </c>
      <c r="C15">
        <v>1.2</v>
      </c>
      <c r="D15" s="12"/>
    </row>
    <row r="16" spans="1:9" hidden="1" x14ac:dyDescent="0.35">
      <c r="B16" s="13">
        <v>2000</v>
      </c>
      <c r="C16">
        <v>1.3</v>
      </c>
      <c r="D16" s="12"/>
    </row>
    <row r="17" spans="2:26" hidden="1" x14ac:dyDescent="0.35">
      <c r="B17" s="13">
        <v>2500</v>
      </c>
      <c r="C17">
        <v>1.5</v>
      </c>
      <c r="D17" s="12"/>
    </row>
    <row r="18" spans="2:26" hidden="1" x14ac:dyDescent="0.35">
      <c r="B18" s="13">
        <v>3000</v>
      </c>
      <c r="C18">
        <v>1.8</v>
      </c>
      <c r="D18" s="12"/>
    </row>
    <row r="19" spans="2:26" hidden="1" x14ac:dyDescent="0.35">
      <c r="B19" s="13">
        <v>3500</v>
      </c>
      <c r="C19">
        <v>2.2000000000000002</v>
      </c>
      <c r="D19" s="12"/>
    </row>
    <row r="20" spans="2:26" hidden="1" x14ac:dyDescent="0.35">
      <c r="B20" s="13">
        <v>4000</v>
      </c>
      <c r="C20">
        <v>2.2999999999999998</v>
      </c>
      <c r="D20" s="12"/>
    </row>
    <row r="21" spans="2:26" hidden="1" x14ac:dyDescent="0.35">
      <c r="B21" s="13">
        <v>4500</v>
      </c>
      <c r="C21">
        <v>2.5</v>
      </c>
      <c r="D21" s="12"/>
    </row>
    <row r="22" spans="2:26" hidden="1" x14ac:dyDescent="0.35">
      <c r="B22" s="13"/>
      <c r="D22" s="12"/>
    </row>
    <row r="23" spans="2:26" hidden="1" x14ac:dyDescent="0.35">
      <c r="B23" s="21" t="s">
        <v>3</v>
      </c>
      <c r="C23" s="42">
        <v>2</v>
      </c>
      <c r="D23" s="12"/>
    </row>
    <row r="24" spans="2:26" hidden="1" x14ac:dyDescent="0.35">
      <c r="B24" s="11"/>
      <c r="D24" s="12"/>
    </row>
    <row r="25" spans="2:26" hidden="1" x14ac:dyDescent="0.35">
      <c r="B25" s="13"/>
      <c r="D25" s="12"/>
      <c r="K25">
        <v>1</v>
      </c>
      <c r="N25">
        <v>2</v>
      </c>
      <c r="Q25">
        <v>4</v>
      </c>
      <c r="T25">
        <v>9</v>
      </c>
      <c r="W25">
        <v>13</v>
      </c>
      <c r="Z25">
        <v>20</v>
      </c>
    </row>
    <row r="26" spans="2:26" hidden="1" x14ac:dyDescent="0.35">
      <c r="B26" s="16" t="s">
        <v>4</v>
      </c>
      <c r="C26" s="43" t="s">
        <v>5</v>
      </c>
      <c r="D26" s="66" t="s">
        <v>6</v>
      </c>
      <c r="E26" s="43" t="s">
        <v>7</v>
      </c>
      <c r="F26" s="43" t="s">
        <v>8</v>
      </c>
      <c r="G26" s="43" t="s">
        <v>9</v>
      </c>
      <c r="H26" s="43" t="s">
        <v>10</v>
      </c>
      <c r="J26" s="43" t="s">
        <v>4</v>
      </c>
      <c r="K26" s="43" t="s">
        <v>5</v>
      </c>
      <c r="M26" s="43" t="s">
        <v>4</v>
      </c>
      <c r="N26" s="43" t="s">
        <v>5</v>
      </c>
      <c r="P26" s="43" t="s">
        <v>4</v>
      </c>
      <c r="Q26" s="43" t="s">
        <v>5</v>
      </c>
      <c r="S26" s="43" t="s">
        <v>4</v>
      </c>
      <c r="T26" s="43" t="s">
        <v>5</v>
      </c>
      <c r="V26" s="43" t="s">
        <v>4</v>
      </c>
      <c r="W26" s="43" t="s">
        <v>5</v>
      </c>
      <c r="Y26" s="43" t="s">
        <v>4</v>
      </c>
      <c r="Z26" s="43" t="s">
        <v>5</v>
      </c>
    </row>
    <row r="27" spans="2:26" hidden="1" x14ac:dyDescent="0.35">
      <c r="B27" s="16">
        <v>1</v>
      </c>
      <c r="C27" s="58">
        <f>CHOOSE(
MATCH($C$23,{1;2;4;9;13;20},0),
$K27,
$N27,
$Q27,
$T27,
$W27,
$Z27
)</f>
        <v>1</v>
      </c>
      <c r="D27" s="67">
        <f>C27^2</f>
        <v>1</v>
      </c>
      <c r="E27" s="59">
        <f>B27^2</f>
        <v>1</v>
      </c>
      <c r="F27" s="59">
        <f>D27*E27</f>
        <v>1</v>
      </c>
      <c r="G27" s="59">
        <f>B27^0.8</f>
        <v>1</v>
      </c>
      <c r="H27" s="59">
        <f>D27*G27</f>
        <v>1</v>
      </c>
      <c r="J27" s="43">
        <v>1</v>
      </c>
      <c r="K27" s="58">
        <v>1</v>
      </c>
      <c r="M27" s="43">
        <v>1</v>
      </c>
      <c r="N27" s="58">
        <v>1</v>
      </c>
      <c r="P27" s="43">
        <v>1</v>
      </c>
      <c r="Q27" s="58">
        <v>1</v>
      </c>
      <c r="S27" s="43">
        <v>1</v>
      </c>
      <c r="T27" s="58">
        <v>1</v>
      </c>
      <c r="V27" s="43">
        <v>1</v>
      </c>
      <c r="W27" s="58">
        <v>1</v>
      </c>
      <c r="Y27" s="43">
        <v>1</v>
      </c>
      <c r="Z27" s="58">
        <v>1</v>
      </c>
    </row>
    <row r="28" spans="2:26" hidden="1" x14ac:dyDescent="0.35">
      <c r="B28" s="16">
        <v>3</v>
      </c>
      <c r="C28" s="58">
        <f>CHOOSE(
MATCH($C$23,{1;2;4;9;13;20},0),
$K28,
$N28,
$Q28,
$T28,
$W28,
$Z28
)</f>
        <v>0</v>
      </c>
      <c r="D28" s="67">
        <f t="shared" ref="D28:D51" si="0">C28^2</f>
        <v>0</v>
      </c>
      <c r="E28" s="59">
        <f t="shared" ref="E28:E51" si="1">B28^2</f>
        <v>9</v>
      </c>
      <c r="F28" s="59">
        <f t="shared" ref="F28:F51" si="2">D28*E28</f>
        <v>0</v>
      </c>
      <c r="G28" s="59">
        <f t="shared" ref="G28:G39" si="3">B28^0.8</f>
        <v>2.4082246852806923</v>
      </c>
      <c r="H28" s="59">
        <f t="shared" ref="H28:H51" si="4">D28*G28</f>
        <v>0</v>
      </c>
      <c r="J28" s="43">
        <v>3</v>
      </c>
      <c r="K28" s="58">
        <v>0</v>
      </c>
      <c r="M28" s="43">
        <v>3</v>
      </c>
      <c r="N28" s="58">
        <v>0</v>
      </c>
      <c r="P28" s="43">
        <v>3</v>
      </c>
      <c r="Q28" s="58">
        <v>0</v>
      </c>
      <c r="S28" s="43">
        <v>3</v>
      </c>
      <c r="T28" s="58">
        <v>0</v>
      </c>
      <c r="V28" s="43">
        <v>3</v>
      </c>
      <c r="W28" s="58">
        <v>0</v>
      </c>
      <c r="Y28" s="43">
        <v>3</v>
      </c>
      <c r="Z28" s="58">
        <v>0</v>
      </c>
    </row>
    <row r="29" spans="2:26" hidden="1" x14ac:dyDescent="0.35">
      <c r="B29" s="16">
        <v>5</v>
      </c>
      <c r="C29" s="58">
        <f>CHOOSE(
MATCH($C$23,{1;2;4;9;13;20},0),
$K29,
$N29,
$Q29,
$T29,
$W29,
$Z29
)</f>
        <v>0.2</v>
      </c>
      <c r="D29" s="67">
        <f>C29^2</f>
        <v>4.0000000000000008E-2</v>
      </c>
      <c r="E29" s="59">
        <f t="shared" si="1"/>
        <v>25</v>
      </c>
      <c r="F29" s="59">
        <f t="shared" si="2"/>
        <v>1.0000000000000002</v>
      </c>
      <c r="G29" s="59">
        <f>B29^0.8</f>
        <v>3.6238983183884779</v>
      </c>
      <c r="H29" s="59">
        <f>D29*G29</f>
        <v>0.14495593273553914</v>
      </c>
      <c r="J29" s="43">
        <v>5</v>
      </c>
      <c r="K29" s="58">
        <v>0</v>
      </c>
      <c r="M29" s="43">
        <v>5</v>
      </c>
      <c r="N29" s="58">
        <v>0.2</v>
      </c>
      <c r="P29" s="43">
        <v>5</v>
      </c>
      <c r="Q29" s="58">
        <v>0.22</v>
      </c>
      <c r="S29" s="43">
        <v>5</v>
      </c>
      <c r="T29" s="58">
        <v>0.3</v>
      </c>
      <c r="V29" s="43">
        <v>5</v>
      </c>
      <c r="W29" s="58">
        <v>0.6</v>
      </c>
      <c r="Y29" s="43">
        <v>5</v>
      </c>
      <c r="Z29" s="58">
        <v>0.65</v>
      </c>
    </row>
    <row r="30" spans="2:26" hidden="1" x14ac:dyDescent="0.35">
      <c r="B30" s="16">
        <v>7</v>
      </c>
      <c r="C30" s="58">
        <f>CHOOSE(
MATCH($C$23,{1;2;4;9;13;20},0),
$K30,
$N30,
$Q30,
$T30,
$W30,
$Z30
)</f>
        <v>0.13</v>
      </c>
      <c r="D30" s="67">
        <f t="shared" si="0"/>
        <v>1.6900000000000002E-2</v>
      </c>
      <c r="E30" s="59">
        <f t="shared" si="1"/>
        <v>49</v>
      </c>
      <c r="F30" s="59">
        <f t="shared" si="2"/>
        <v>0.82810000000000006</v>
      </c>
      <c r="G30" s="59">
        <f t="shared" si="3"/>
        <v>4.7432763938033666</v>
      </c>
      <c r="H30" s="59">
        <f t="shared" si="4"/>
        <v>8.0161371055276903E-2</v>
      </c>
      <c r="J30" s="43">
        <v>7</v>
      </c>
      <c r="K30" s="58">
        <v>0</v>
      </c>
      <c r="M30" s="43">
        <v>7</v>
      </c>
      <c r="N30" s="58">
        <v>0.13</v>
      </c>
      <c r="P30" s="43">
        <v>7</v>
      </c>
      <c r="Q30" s="58">
        <v>0.15</v>
      </c>
      <c r="S30" s="43">
        <v>7</v>
      </c>
      <c r="T30" s="58">
        <v>0.13</v>
      </c>
      <c r="V30" s="43">
        <v>7</v>
      </c>
      <c r="W30" s="58">
        <v>0.13</v>
      </c>
      <c r="Y30" s="43">
        <v>7</v>
      </c>
      <c r="Z30" s="58">
        <v>0.11</v>
      </c>
    </row>
    <row r="31" spans="2:26" hidden="1" x14ac:dyDescent="0.35">
      <c r="B31" s="16">
        <v>9</v>
      </c>
      <c r="C31" s="58">
        <f>CHOOSE(
MATCH($C$23,{1;2;4;9;13;20},0),
$K31,
$N31,
$Q31,
$T31,
$W31,
$Z31
)</f>
        <v>0</v>
      </c>
      <c r="D31" s="67">
        <f t="shared" si="0"/>
        <v>0</v>
      </c>
      <c r="E31" s="59">
        <f t="shared" si="1"/>
        <v>81</v>
      </c>
      <c r="F31" s="59">
        <f t="shared" si="2"/>
        <v>0</v>
      </c>
      <c r="G31" s="59">
        <f t="shared" si="3"/>
        <v>5.7995461347952899</v>
      </c>
      <c r="H31" s="59">
        <f t="shared" si="4"/>
        <v>0</v>
      </c>
      <c r="J31" s="43">
        <v>9</v>
      </c>
      <c r="K31" s="58">
        <v>0</v>
      </c>
      <c r="M31" s="43">
        <v>9</v>
      </c>
      <c r="N31" s="58">
        <v>0</v>
      </c>
      <c r="P31" s="43">
        <v>9</v>
      </c>
      <c r="Q31" s="58">
        <v>0</v>
      </c>
      <c r="S31" s="43">
        <v>9</v>
      </c>
      <c r="T31" s="58">
        <v>0</v>
      </c>
      <c r="V31" s="43">
        <v>9</v>
      </c>
      <c r="W31" s="58">
        <v>0</v>
      </c>
      <c r="Y31" s="43">
        <v>9</v>
      </c>
      <c r="Z31" s="58">
        <v>0</v>
      </c>
    </row>
    <row r="32" spans="2:26" hidden="1" x14ac:dyDescent="0.35">
      <c r="B32" s="16">
        <v>11</v>
      </c>
      <c r="C32" s="58">
        <f>CHOOSE(
MATCH($C$23,{1;2;4;9;13;20},0),
$K32,
$N32,
$Q32,
$T32,
$W32,
$Z32
)</f>
        <v>7.0000000000000007E-2</v>
      </c>
      <c r="D32" s="67">
        <f t="shared" si="0"/>
        <v>4.9000000000000007E-3</v>
      </c>
      <c r="E32" s="59">
        <f t="shared" si="1"/>
        <v>121</v>
      </c>
      <c r="F32" s="59">
        <f t="shared" si="2"/>
        <v>0.59290000000000009</v>
      </c>
      <c r="G32" s="59">
        <f t="shared" si="3"/>
        <v>6.8094831275223022</v>
      </c>
      <c r="H32" s="59">
        <f t="shared" si="4"/>
        <v>3.3366467324859289E-2</v>
      </c>
      <c r="J32" s="43">
        <v>11</v>
      </c>
      <c r="K32" s="58">
        <v>0</v>
      </c>
      <c r="M32" s="43">
        <v>11</v>
      </c>
      <c r="N32" s="58">
        <v>7.0000000000000007E-2</v>
      </c>
      <c r="P32" s="43">
        <v>11</v>
      </c>
      <c r="Q32" s="58">
        <v>0.01</v>
      </c>
      <c r="S32" s="43">
        <v>11</v>
      </c>
      <c r="T32" s="58">
        <v>7.0000000000000007E-2</v>
      </c>
      <c r="V32" s="43">
        <v>11</v>
      </c>
      <c r="W32" s="58">
        <v>0.8</v>
      </c>
      <c r="Y32" s="43">
        <v>11</v>
      </c>
      <c r="Z32" s="58">
        <v>7.0000000000000007E-2</v>
      </c>
    </row>
    <row r="33" spans="2:26" hidden="1" x14ac:dyDescent="0.35">
      <c r="B33" s="16">
        <v>13</v>
      </c>
      <c r="C33" s="58">
        <f>CHOOSE(
MATCH($C$23,{1;2;4;9;13;20},0),
$K33,
$N33,
$Q33,
$T33,
$W33,
$Z33
)</f>
        <v>0.05</v>
      </c>
      <c r="D33" s="67">
        <f t="shared" si="0"/>
        <v>2.5000000000000005E-3</v>
      </c>
      <c r="E33" s="59">
        <f t="shared" si="1"/>
        <v>169</v>
      </c>
      <c r="F33" s="59">
        <f t="shared" si="2"/>
        <v>0.4225000000000001</v>
      </c>
      <c r="G33" s="59">
        <f t="shared" si="3"/>
        <v>7.7831371220394709</v>
      </c>
      <c r="H33" s="59">
        <f t="shared" si="4"/>
        <v>1.9457842805098682E-2</v>
      </c>
      <c r="J33" s="43">
        <v>13</v>
      </c>
      <c r="K33" s="58">
        <v>0</v>
      </c>
      <c r="M33" s="43">
        <v>13</v>
      </c>
      <c r="N33" s="58">
        <v>0.05</v>
      </c>
      <c r="P33" s="43">
        <v>13</v>
      </c>
      <c r="Q33" s="58">
        <v>0.06</v>
      </c>
      <c r="S33" s="43">
        <v>13</v>
      </c>
      <c r="T33" s="58">
        <v>0.06</v>
      </c>
      <c r="V33" s="43">
        <v>13</v>
      </c>
      <c r="W33" s="58">
        <v>0.05</v>
      </c>
      <c r="Y33" s="43">
        <v>13</v>
      </c>
      <c r="Z33" s="58">
        <v>0.05</v>
      </c>
    </row>
    <row r="34" spans="2:26" hidden="1" x14ac:dyDescent="0.35">
      <c r="B34" s="16">
        <v>15</v>
      </c>
      <c r="C34" s="58">
        <f>CHOOSE(
MATCH($C$23,{1;2;4;9;13;20},0),
$K34,
$N34,
$Q34,
$T34,
$W34,
$Z34
)</f>
        <v>0</v>
      </c>
      <c r="D34" s="67">
        <f t="shared" si="0"/>
        <v>0</v>
      </c>
      <c r="E34" s="59">
        <f t="shared" si="1"/>
        <v>225</v>
      </c>
      <c r="F34" s="59">
        <f t="shared" si="2"/>
        <v>0</v>
      </c>
      <c r="G34" s="59">
        <f t="shared" si="3"/>
        <v>8.7271613872903213</v>
      </c>
      <c r="H34" s="59">
        <f t="shared" si="4"/>
        <v>0</v>
      </c>
      <c r="J34" s="43">
        <v>15</v>
      </c>
      <c r="K34" s="58">
        <v>0</v>
      </c>
      <c r="M34" s="43">
        <v>15</v>
      </c>
      <c r="N34" s="58">
        <v>0</v>
      </c>
      <c r="P34" s="43">
        <v>15</v>
      </c>
      <c r="Q34" s="58">
        <v>0</v>
      </c>
      <c r="S34" s="43">
        <v>15</v>
      </c>
      <c r="T34" s="58">
        <v>0</v>
      </c>
      <c r="V34" s="43">
        <v>15</v>
      </c>
      <c r="W34" s="58">
        <v>0</v>
      </c>
      <c r="Y34" s="43">
        <v>15</v>
      </c>
      <c r="Z34" s="58">
        <v>0</v>
      </c>
    </row>
    <row r="35" spans="2:26" hidden="1" x14ac:dyDescent="0.35">
      <c r="B35" s="16">
        <v>17</v>
      </c>
      <c r="C35" s="58">
        <f>CHOOSE(
MATCH($C$23,{1;2;4;9;13;20},0),
$K35,
$N35,
$Q35,
$T35,
$W35,
$Z35
)</f>
        <v>0.03</v>
      </c>
      <c r="D35" s="67">
        <f t="shared" si="0"/>
        <v>8.9999999999999998E-4</v>
      </c>
      <c r="E35" s="59">
        <f t="shared" si="1"/>
        <v>289</v>
      </c>
      <c r="F35" s="59">
        <f t="shared" si="2"/>
        <v>0.2601</v>
      </c>
      <c r="G35" s="59">
        <f t="shared" si="3"/>
        <v>9.6462638564168639</v>
      </c>
      <c r="H35" s="59">
        <f t="shared" si="4"/>
        <v>8.6816374707751765E-3</v>
      </c>
      <c r="J35" s="43">
        <v>17</v>
      </c>
      <c r="K35" s="58">
        <v>0</v>
      </c>
      <c r="M35" s="43">
        <v>17</v>
      </c>
      <c r="N35" s="58">
        <v>0.03</v>
      </c>
      <c r="P35" s="43">
        <v>17</v>
      </c>
      <c r="Q35" s="58">
        <v>0.05</v>
      </c>
      <c r="S35" s="43">
        <v>17</v>
      </c>
      <c r="T35" s="58">
        <v>0.03</v>
      </c>
      <c r="V35" s="43">
        <v>17</v>
      </c>
      <c r="W35" s="58">
        <v>0.03</v>
      </c>
      <c r="Y35" s="43">
        <v>17</v>
      </c>
      <c r="Z35" s="58">
        <v>0.03</v>
      </c>
    </row>
    <row r="36" spans="2:26" hidden="1" x14ac:dyDescent="0.35">
      <c r="B36" s="16">
        <v>19</v>
      </c>
      <c r="C36" s="58">
        <f>CHOOSE(
MATCH($C$23,{1;2;4;9;13;20},0),
$K36,
$N36,
$Q36,
$T36,
$W36,
$Z36
)</f>
        <v>0.02</v>
      </c>
      <c r="D36" s="67">
        <f t="shared" si="0"/>
        <v>4.0000000000000002E-4</v>
      </c>
      <c r="E36" s="59">
        <f t="shared" si="1"/>
        <v>361</v>
      </c>
      <c r="F36" s="59">
        <f t="shared" si="2"/>
        <v>0.1444</v>
      </c>
      <c r="G36" s="59">
        <f t="shared" si="3"/>
        <v>10.543938903738731</v>
      </c>
      <c r="H36" s="59">
        <f t="shared" si="4"/>
        <v>4.2175755614954928E-3</v>
      </c>
      <c r="J36" s="43">
        <v>19</v>
      </c>
      <c r="K36" s="58">
        <v>0</v>
      </c>
      <c r="M36" s="43">
        <v>19</v>
      </c>
      <c r="N36" s="58">
        <v>0.02</v>
      </c>
      <c r="P36" s="43">
        <v>19</v>
      </c>
      <c r="Q36" s="58">
        <v>0.02</v>
      </c>
      <c r="S36" s="43">
        <v>19</v>
      </c>
      <c r="T36" s="58">
        <v>0.02</v>
      </c>
      <c r="V36" s="43">
        <v>19</v>
      </c>
      <c r="W36" s="58">
        <v>0.02</v>
      </c>
      <c r="Y36" s="43">
        <v>19</v>
      </c>
      <c r="Z36" s="58">
        <v>0.02</v>
      </c>
    </row>
    <row r="37" spans="2:26" hidden="1" x14ac:dyDescent="0.35">
      <c r="B37" s="16">
        <v>21</v>
      </c>
      <c r="C37" s="58">
        <f>CHOOSE(
MATCH($C$23,{1;2;4;9;13;20},0),
$K37,
$N37,
$Q37,
$T37,
$W37,
$Z37
)</f>
        <v>0</v>
      </c>
      <c r="D37" s="67">
        <f t="shared" si="0"/>
        <v>0</v>
      </c>
      <c r="E37" s="59">
        <f t="shared" si="1"/>
        <v>441</v>
      </c>
      <c r="F37" s="59">
        <f t="shared" si="2"/>
        <v>0</v>
      </c>
      <c r="G37" s="59">
        <f t="shared" si="3"/>
        <v>11.422875300666449</v>
      </c>
      <c r="H37" s="59">
        <f t="shared" si="4"/>
        <v>0</v>
      </c>
      <c r="J37" s="43">
        <v>21</v>
      </c>
      <c r="K37" s="58">
        <v>0</v>
      </c>
      <c r="M37" s="43">
        <v>21</v>
      </c>
      <c r="N37" s="58">
        <v>0</v>
      </c>
      <c r="P37" s="43">
        <v>21</v>
      </c>
      <c r="Q37" s="58">
        <v>0</v>
      </c>
      <c r="S37" s="43">
        <v>21</v>
      </c>
      <c r="T37" s="58">
        <v>0</v>
      </c>
      <c r="V37" s="43">
        <v>21</v>
      </c>
      <c r="W37" s="58">
        <v>0</v>
      </c>
      <c r="Y37" s="43">
        <v>21</v>
      </c>
      <c r="Z37" s="58">
        <v>0</v>
      </c>
    </row>
    <row r="38" spans="2:26" hidden="1" x14ac:dyDescent="0.35">
      <c r="B38" s="16">
        <v>23</v>
      </c>
      <c r="C38" s="58">
        <f>CHOOSE(
MATCH($C$23,{1;2;4;9;13;20},0),
$K38,
$N38,
$Q38,
$T38,
$W38,
$Z38
)</f>
        <v>0.01</v>
      </c>
      <c r="D38" s="67">
        <f t="shared" si="0"/>
        <v>1E-4</v>
      </c>
      <c r="E38" s="59">
        <f t="shared" si="1"/>
        <v>529</v>
      </c>
      <c r="F38" s="59">
        <f t="shared" si="2"/>
        <v>5.2900000000000003E-2</v>
      </c>
      <c r="G38" s="59">
        <f t="shared" si="3"/>
        <v>12.285201067417038</v>
      </c>
      <c r="H38" s="59">
        <f t="shared" si="4"/>
        <v>1.2285201067417039E-3</v>
      </c>
      <c r="J38" s="43">
        <v>23</v>
      </c>
      <c r="K38" s="58">
        <v>0</v>
      </c>
      <c r="M38" s="43">
        <v>23</v>
      </c>
      <c r="N38" s="58">
        <v>0.01</v>
      </c>
      <c r="P38" s="43">
        <v>23</v>
      </c>
      <c r="Q38" s="58">
        <v>0.01</v>
      </c>
      <c r="S38" s="43">
        <v>23</v>
      </c>
      <c r="T38" s="58">
        <v>0.01</v>
      </c>
      <c r="V38" s="43">
        <v>23</v>
      </c>
      <c r="W38" s="58">
        <v>0.01</v>
      </c>
      <c r="Y38" s="43">
        <v>23</v>
      </c>
      <c r="Z38" s="58">
        <v>0.01</v>
      </c>
    </row>
    <row r="39" spans="2:26" hidden="1" x14ac:dyDescent="0.35">
      <c r="B39" s="16">
        <v>25</v>
      </c>
      <c r="C39" s="58">
        <f>CHOOSE(
MATCH($C$23,{1;2;4;9;13;20},0),
$K39,
$N39,
$Q39,
$T39,
$W39,
$Z39
)</f>
        <v>0.06</v>
      </c>
      <c r="D39" s="67">
        <f t="shared" si="0"/>
        <v>3.5999999999999999E-3</v>
      </c>
      <c r="E39" s="59">
        <f t="shared" si="1"/>
        <v>625</v>
      </c>
      <c r="F39" s="59">
        <f t="shared" si="2"/>
        <v>2.25</v>
      </c>
      <c r="G39" s="59">
        <f t="shared" si="3"/>
        <v>13.132639022018838</v>
      </c>
      <c r="H39" s="59">
        <f t="shared" si="4"/>
        <v>4.7277500479267813E-2</v>
      </c>
      <c r="J39" s="43">
        <v>25</v>
      </c>
      <c r="K39" s="58">
        <v>0</v>
      </c>
      <c r="M39" s="43">
        <v>25</v>
      </c>
      <c r="N39" s="58">
        <v>0.06</v>
      </c>
      <c r="P39" s="43">
        <v>25</v>
      </c>
      <c r="Q39" s="58">
        <v>0.1</v>
      </c>
      <c r="S39" s="43">
        <v>25</v>
      </c>
      <c r="T39" s="58">
        <v>0.1</v>
      </c>
      <c r="V39" s="43">
        <v>25</v>
      </c>
      <c r="W39" s="58">
        <v>5.0000000000000001E-3</v>
      </c>
      <c r="Y39" s="43">
        <v>25</v>
      </c>
      <c r="Z39" s="58">
        <v>5.0000000000000001E-3</v>
      </c>
    </row>
    <row r="40" spans="2:26" hidden="1" x14ac:dyDescent="0.35">
      <c r="B40" s="16">
        <v>27</v>
      </c>
      <c r="C40" s="58">
        <f>CHOOSE(
MATCH($C$23,{1;2;4;9;13;20},0),
$K40,
$N40,
$Q40,
$T40,
$W40,
$Z40
)</f>
        <v>0</v>
      </c>
      <c r="D40" s="67">
        <f t="shared" si="0"/>
        <v>0</v>
      </c>
      <c r="E40" s="59">
        <f t="shared" si="1"/>
        <v>729</v>
      </c>
      <c r="F40" s="59">
        <f t="shared" si="2"/>
        <v>0</v>
      </c>
      <c r="G40" s="59">
        <f>B40^0.8</f>
        <v>13.966610165238238</v>
      </c>
      <c r="H40" s="59">
        <f t="shared" si="4"/>
        <v>0</v>
      </c>
      <c r="J40" s="43">
        <v>27</v>
      </c>
      <c r="K40" s="58">
        <v>0</v>
      </c>
      <c r="M40" s="43">
        <v>27</v>
      </c>
      <c r="N40" s="58">
        <v>0</v>
      </c>
      <c r="P40" s="43">
        <v>27</v>
      </c>
      <c r="Q40" s="58">
        <v>0</v>
      </c>
      <c r="S40" s="43">
        <v>27</v>
      </c>
      <c r="T40" s="58">
        <v>0</v>
      </c>
      <c r="V40" s="43">
        <v>27</v>
      </c>
      <c r="W40" s="58">
        <v>0</v>
      </c>
      <c r="Y40" s="43">
        <v>27</v>
      </c>
      <c r="Z40" s="58">
        <v>0</v>
      </c>
    </row>
    <row r="41" spans="2:26" hidden="1" x14ac:dyDescent="0.35">
      <c r="B41" s="16">
        <v>29</v>
      </c>
      <c r="C41" s="58">
        <f>CHOOSE(
MATCH($C$23,{1;2;4;9;13;20},0),
$K41,
$N41,
$Q41,
$T41,
$W41,
$Z41
)</f>
        <v>0</v>
      </c>
      <c r="D41" s="67">
        <f t="shared" si="0"/>
        <v>0</v>
      </c>
      <c r="E41" s="59">
        <f t="shared" si="1"/>
        <v>841</v>
      </c>
      <c r="F41" s="59">
        <f t="shared" si="2"/>
        <v>0</v>
      </c>
      <c r="G41" s="59">
        <f t="shared" ref="G41:G51" si="5">B41^0.8</f>
        <v>14.788304974808694</v>
      </c>
      <c r="H41" s="59">
        <f t="shared" si="4"/>
        <v>0</v>
      </c>
      <c r="J41" s="43">
        <v>29</v>
      </c>
      <c r="K41" s="58">
        <v>0</v>
      </c>
      <c r="M41" s="43">
        <v>29</v>
      </c>
      <c r="N41" s="58">
        <v>0</v>
      </c>
      <c r="P41" s="43">
        <v>29</v>
      </c>
      <c r="Q41" s="58">
        <v>0</v>
      </c>
      <c r="S41" s="43">
        <v>29</v>
      </c>
      <c r="T41" s="58">
        <v>0</v>
      </c>
      <c r="V41" s="43">
        <v>29</v>
      </c>
      <c r="W41" s="58">
        <v>0</v>
      </c>
      <c r="Y41" s="43">
        <v>29</v>
      </c>
      <c r="Z41" s="58">
        <v>0</v>
      </c>
    </row>
    <row r="42" spans="2:26" hidden="1" x14ac:dyDescent="0.35">
      <c r="B42" s="16">
        <v>31</v>
      </c>
      <c r="C42" s="58">
        <f>CHOOSE(
MATCH($C$23,{1;2;4;9;13;20},0),
$K42,
$N42,
$Q42,
$T42,
$W42,
$Z42
)</f>
        <v>0</v>
      </c>
      <c r="D42" s="67">
        <f t="shared" si="0"/>
        <v>0</v>
      </c>
      <c r="E42" s="59">
        <f t="shared" si="1"/>
        <v>961</v>
      </c>
      <c r="F42" s="59">
        <f t="shared" si="2"/>
        <v>0</v>
      </c>
      <c r="G42" s="59">
        <f t="shared" si="5"/>
        <v>15.598734100953935</v>
      </c>
      <c r="H42" s="59">
        <f t="shared" si="4"/>
        <v>0</v>
      </c>
      <c r="J42" s="43">
        <v>31</v>
      </c>
      <c r="K42" s="58">
        <v>0</v>
      </c>
      <c r="M42" s="43">
        <v>31</v>
      </c>
      <c r="N42" s="58">
        <v>0</v>
      </c>
      <c r="P42" s="43">
        <v>31</v>
      </c>
      <c r="Q42" s="58">
        <v>0</v>
      </c>
      <c r="S42" s="43">
        <v>31</v>
      </c>
      <c r="T42" s="58">
        <v>0</v>
      </c>
      <c r="V42" s="43">
        <v>31</v>
      </c>
      <c r="W42" s="58">
        <v>0</v>
      </c>
      <c r="Y42" s="43">
        <v>31</v>
      </c>
      <c r="Z42" s="58">
        <v>0</v>
      </c>
    </row>
    <row r="43" spans="2:26" hidden="1" x14ac:dyDescent="0.35">
      <c r="B43" s="16">
        <v>33</v>
      </c>
      <c r="C43" s="58">
        <f>CHOOSE(
MATCH($C$23,{1;2;4;9;13;20},0),
$K43,
$N43,
$Q43,
$T43,
$W43,
$Z43
)</f>
        <v>0</v>
      </c>
      <c r="D43" s="67">
        <f t="shared" si="0"/>
        <v>0</v>
      </c>
      <c r="E43" s="59">
        <f t="shared" si="1"/>
        <v>1089</v>
      </c>
      <c r="F43" s="59">
        <f t="shared" si="2"/>
        <v>0</v>
      </c>
      <c r="G43" s="59">
        <f t="shared" si="5"/>
        <v>16.398765361701578</v>
      </c>
      <c r="H43" s="59">
        <f t="shared" si="4"/>
        <v>0</v>
      </c>
      <c r="J43" s="43">
        <v>33</v>
      </c>
      <c r="K43" s="58">
        <v>0</v>
      </c>
      <c r="M43" s="43">
        <v>33</v>
      </c>
      <c r="N43" s="58">
        <v>0</v>
      </c>
      <c r="P43" s="43">
        <v>33</v>
      </c>
      <c r="Q43" s="58">
        <v>0</v>
      </c>
      <c r="S43" s="43">
        <v>33</v>
      </c>
      <c r="T43" s="58">
        <v>0</v>
      </c>
      <c r="V43" s="43">
        <v>33</v>
      </c>
      <c r="W43" s="58">
        <v>0</v>
      </c>
      <c r="Y43" s="43">
        <v>33</v>
      </c>
      <c r="Z43" s="58">
        <v>0</v>
      </c>
    </row>
    <row r="44" spans="2:26" hidden="1" x14ac:dyDescent="0.35">
      <c r="B44" s="16">
        <v>35</v>
      </c>
      <c r="C44" s="58">
        <f>CHOOSE(
MATCH($C$23,{1;2;4;9;13;20},0),
$K44,
$N44,
$Q44,
$T44,
$W44,
$Z44
)</f>
        <v>0</v>
      </c>
      <c r="D44" s="67">
        <f t="shared" si="0"/>
        <v>0</v>
      </c>
      <c r="E44" s="59">
        <f t="shared" si="1"/>
        <v>1225</v>
      </c>
      <c r="F44" s="59">
        <f t="shared" si="2"/>
        <v>0</v>
      </c>
      <c r="G44" s="59">
        <f t="shared" si="5"/>
        <v>17.189151347155786</v>
      </c>
      <c r="H44" s="59">
        <f t="shared" si="4"/>
        <v>0</v>
      </c>
      <c r="J44" s="43">
        <v>35</v>
      </c>
      <c r="K44" s="58">
        <v>0</v>
      </c>
      <c r="M44" s="43">
        <v>35</v>
      </c>
      <c r="N44" s="58">
        <v>0</v>
      </c>
      <c r="P44" s="43">
        <v>35</v>
      </c>
      <c r="Q44" s="58">
        <v>0</v>
      </c>
      <c r="S44" s="43">
        <v>35</v>
      </c>
      <c r="T44" s="58">
        <v>0</v>
      </c>
      <c r="V44" s="43">
        <v>35</v>
      </c>
      <c r="W44" s="58">
        <v>0</v>
      </c>
      <c r="Y44" s="43">
        <v>35</v>
      </c>
      <c r="Z44" s="58">
        <v>0</v>
      </c>
    </row>
    <row r="45" spans="2:26" hidden="1" x14ac:dyDescent="0.35">
      <c r="B45" s="16">
        <v>37</v>
      </c>
      <c r="C45" s="58">
        <f>CHOOSE(
MATCH($C$23,{1;2;4;9;13;20},0),
$K45,
$N45,
$Q45,
$T45,
$W45,
$Z45
)</f>
        <v>0</v>
      </c>
      <c r="D45" s="67">
        <f t="shared" si="0"/>
        <v>0</v>
      </c>
      <c r="E45" s="59">
        <f t="shared" si="1"/>
        <v>1369</v>
      </c>
      <c r="F45" s="59">
        <f t="shared" si="2"/>
        <v>0</v>
      </c>
      <c r="G45" s="59">
        <f t="shared" si="5"/>
        <v>17.970550417308232</v>
      </c>
      <c r="H45" s="59">
        <f t="shared" si="4"/>
        <v>0</v>
      </c>
      <c r="J45" s="43">
        <v>37</v>
      </c>
      <c r="K45" s="58">
        <v>0</v>
      </c>
      <c r="M45" s="43">
        <v>37</v>
      </c>
      <c r="N45" s="58">
        <v>0</v>
      </c>
      <c r="P45" s="43">
        <v>37</v>
      </c>
      <c r="Q45" s="58">
        <v>0</v>
      </c>
      <c r="S45" s="43">
        <v>37</v>
      </c>
      <c r="T45" s="58">
        <v>0</v>
      </c>
      <c r="V45" s="43">
        <v>37</v>
      </c>
      <c r="W45" s="58">
        <v>0</v>
      </c>
      <c r="Y45" s="43">
        <v>37</v>
      </c>
      <c r="Z45" s="58">
        <v>0</v>
      </c>
    </row>
    <row r="46" spans="2:26" hidden="1" x14ac:dyDescent="0.35">
      <c r="B46" s="16">
        <v>39</v>
      </c>
      <c r="C46" s="58">
        <f>CHOOSE(
MATCH($C$23,{1;2;4;9;13;20},0),
$K46,
$N46,
$Q46,
$T46,
$W46,
$Z46
)</f>
        <v>0</v>
      </c>
      <c r="D46" s="67">
        <f t="shared" si="0"/>
        <v>0</v>
      </c>
      <c r="E46" s="59">
        <f t="shared" si="1"/>
        <v>1521</v>
      </c>
      <c r="F46" s="59">
        <f t="shared" si="2"/>
        <v>0</v>
      </c>
      <c r="G46" s="59">
        <f t="shared" si="5"/>
        <v>18.743542946219979</v>
      </c>
      <c r="H46" s="59">
        <f t="shared" si="4"/>
        <v>0</v>
      </c>
      <c r="J46" s="43">
        <v>39</v>
      </c>
      <c r="K46" s="58">
        <v>0</v>
      </c>
      <c r="M46" s="43">
        <v>39</v>
      </c>
      <c r="N46" s="58">
        <v>0</v>
      </c>
      <c r="P46" s="43">
        <v>39</v>
      </c>
      <c r="Q46" s="58">
        <v>0</v>
      </c>
      <c r="S46" s="43">
        <v>39</v>
      </c>
      <c r="T46" s="58">
        <v>0</v>
      </c>
      <c r="V46" s="43">
        <v>39</v>
      </c>
      <c r="W46" s="58">
        <v>0</v>
      </c>
      <c r="Y46" s="43">
        <v>39</v>
      </c>
      <c r="Z46" s="58">
        <v>0</v>
      </c>
    </row>
    <row r="47" spans="2:26" hidden="1" x14ac:dyDescent="0.35">
      <c r="B47" s="16">
        <v>41</v>
      </c>
      <c r="C47" s="58">
        <f>CHOOSE(
MATCH($C$23,{1;2;4;9;13;20},0),
$K47,
$N47,
$Q47,
$T47,
$W47,
$Z47
)</f>
        <v>0</v>
      </c>
      <c r="D47" s="67">
        <f t="shared" si="0"/>
        <v>0</v>
      </c>
      <c r="E47" s="59">
        <f t="shared" si="1"/>
        <v>1681</v>
      </c>
      <c r="F47" s="59">
        <f t="shared" si="2"/>
        <v>0</v>
      </c>
      <c r="G47" s="59">
        <f t="shared" si="5"/>
        <v>19.508644077311327</v>
      </c>
      <c r="H47" s="59">
        <f t="shared" si="4"/>
        <v>0</v>
      </c>
      <c r="J47" s="43">
        <v>41</v>
      </c>
      <c r="K47" s="58">
        <v>0</v>
      </c>
      <c r="M47" s="43">
        <v>41</v>
      </c>
      <c r="N47" s="58">
        <v>0</v>
      </c>
      <c r="P47" s="43">
        <v>41</v>
      </c>
      <c r="Q47" s="58">
        <v>0</v>
      </c>
      <c r="S47" s="43">
        <v>41</v>
      </c>
      <c r="T47" s="58">
        <v>0</v>
      </c>
      <c r="V47" s="43">
        <v>41</v>
      </c>
      <c r="W47" s="58">
        <v>0</v>
      </c>
      <c r="Y47" s="43">
        <v>41</v>
      </c>
      <c r="Z47" s="58">
        <v>0</v>
      </c>
    </row>
    <row r="48" spans="2:26" hidden="1" x14ac:dyDescent="0.35">
      <c r="B48" s="16">
        <v>43</v>
      </c>
      <c r="C48" s="58">
        <f>CHOOSE(
MATCH($C$23,{1;2;4;9;13;20},0),
$K48,
$N48,
$Q48,
$T48,
$W48,
$Z48
)</f>
        <v>0</v>
      </c>
      <c r="D48" s="67">
        <f t="shared" si="0"/>
        <v>0</v>
      </c>
      <c r="E48" s="59">
        <f t="shared" si="1"/>
        <v>1849</v>
      </c>
      <c r="F48" s="59">
        <f t="shared" si="2"/>
        <v>0</v>
      </c>
      <c r="G48" s="59">
        <f t="shared" si="5"/>
        <v>20.266313872687675</v>
      </c>
      <c r="H48" s="59">
        <f t="shared" si="4"/>
        <v>0</v>
      </c>
      <c r="J48" s="43">
        <v>43</v>
      </c>
      <c r="K48" s="58">
        <v>0</v>
      </c>
      <c r="M48" s="43">
        <v>43</v>
      </c>
      <c r="N48" s="58">
        <v>0</v>
      </c>
      <c r="P48" s="43">
        <v>43</v>
      </c>
      <c r="Q48" s="58">
        <v>0</v>
      </c>
      <c r="S48" s="43">
        <v>43</v>
      </c>
      <c r="T48" s="58">
        <v>0</v>
      </c>
      <c r="V48" s="43">
        <v>43</v>
      </c>
      <c r="W48" s="58">
        <v>0</v>
      </c>
      <c r="Y48" s="43">
        <v>43</v>
      </c>
      <c r="Z48" s="58">
        <v>0</v>
      </c>
    </row>
    <row r="49" spans="2:26" hidden="1" x14ac:dyDescent="0.35">
      <c r="B49" s="16">
        <v>45</v>
      </c>
      <c r="C49" s="58">
        <f>CHOOSE(
MATCH($C$23,{1;2;4;9;13;20},0),
$K49,
$N49,
$Q49,
$T49,
$W49,
$Z49
)</f>
        <v>0</v>
      </c>
      <c r="D49" s="67">
        <f t="shared" si="0"/>
        <v>0</v>
      </c>
      <c r="E49" s="59">
        <f t="shared" si="1"/>
        <v>2025</v>
      </c>
      <c r="F49" s="59">
        <f t="shared" si="2"/>
        <v>0</v>
      </c>
      <c r="G49" s="59">
        <f t="shared" si="5"/>
        <v>21.016965485301043</v>
      </c>
      <c r="H49" s="59">
        <f t="shared" si="4"/>
        <v>0</v>
      </c>
      <c r="J49" s="43">
        <v>45</v>
      </c>
      <c r="K49" s="58">
        <v>0</v>
      </c>
      <c r="M49" s="43">
        <v>45</v>
      </c>
      <c r="N49" s="58">
        <v>0</v>
      </c>
      <c r="P49" s="43">
        <v>45</v>
      </c>
      <c r="Q49" s="58">
        <v>0</v>
      </c>
      <c r="S49" s="43">
        <v>45</v>
      </c>
      <c r="T49" s="58">
        <v>0</v>
      </c>
      <c r="V49" s="43">
        <v>45</v>
      </c>
      <c r="W49" s="58">
        <v>0</v>
      </c>
      <c r="Y49" s="43">
        <v>45</v>
      </c>
      <c r="Z49" s="58">
        <v>0</v>
      </c>
    </row>
    <row r="50" spans="2:26" hidden="1" x14ac:dyDescent="0.35">
      <c r="B50" s="16">
        <v>47</v>
      </c>
      <c r="C50" s="58">
        <f>CHOOSE(
MATCH($C$23,{1;2;4;9;13;20},0),
$K50,
$N50,
$Q50,
$T50,
$W50,
$Z50
)</f>
        <v>0</v>
      </c>
      <c r="D50" s="67">
        <f t="shared" si="0"/>
        <v>0</v>
      </c>
      <c r="E50" s="59">
        <f t="shared" si="1"/>
        <v>2209</v>
      </c>
      <c r="F50" s="59">
        <f t="shared" si="2"/>
        <v>0</v>
      </c>
      <c r="G50" s="59">
        <f t="shared" si="5"/>
        <v>21.760971809815491</v>
      </c>
      <c r="H50" s="59">
        <f t="shared" si="4"/>
        <v>0</v>
      </c>
      <c r="J50" s="43">
        <v>47</v>
      </c>
      <c r="K50" s="58">
        <v>0</v>
      </c>
      <c r="M50" s="43">
        <v>47</v>
      </c>
      <c r="N50" s="58">
        <v>0</v>
      </c>
      <c r="P50" s="43">
        <v>47</v>
      </c>
      <c r="Q50" s="58">
        <v>0</v>
      </c>
      <c r="S50" s="43">
        <v>47</v>
      </c>
      <c r="T50" s="58">
        <v>0</v>
      </c>
      <c r="V50" s="43">
        <v>47</v>
      </c>
      <c r="W50" s="58">
        <v>0</v>
      </c>
      <c r="Y50" s="43">
        <v>47</v>
      </c>
      <c r="Z50" s="58">
        <v>0</v>
      </c>
    </row>
    <row r="51" spans="2:26" hidden="1" x14ac:dyDescent="0.35">
      <c r="B51" s="16">
        <v>49</v>
      </c>
      <c r="C51" s="58">
        <f>CHOOSE(
MATCH($C$23,{1;2;4;9;13;20},0),
$K51,
$N51,
$Q51,
$T51,
$W51,
$Z51
)</f>
        <v>0</v>
      </c>
      <c r="D51" s="67">
        <f t="shared" si="0"/>
        <v>0</v>
      </c>
      <c r="E51" s="59">
        <f t="shared" si="1"/>
        <v>2401</v>
      </c>
      <c r="F51" s="59">
        <f t="shared" si="2"/>
        <v>0</v>
      </c>
      <c r="G51" s="59">
        <f t="shared" si="5"/>
        <v>22.498670948012268</v>
      </c>
      <c r="H51" s="59">
        <f t="shared" si="4"/>
        <v>0</v>
      </c>
      <c r="J51" s="43">
        <v>49</v>
      </c>
      <c r="K51" s="58">
        <v>0</v>
      </c>
      <c r="M51" s="43">
        <v>49</v>
      </c>
      <c r="N51" s="58">
        <v>0</v>
      </c>
      <c r="P51" s="43">
        <v>49</v>
      </c>
      <c r="Q51" s="58">
        <v>0</v>
      </c>
      <c r="S51" s="43">
        <v>49</v>
      </c>
      <c r="T51" s="58">
        <v>0</v>
      </c>
      <c r="V51" s="43">
        <v>49</v>
      </c>
      <c r="W51" s="58">
        <v>0</v>
      </c>
      <c r="Y51" s="43">
        <v>49</v>
      </c>
      <c r="Z51" s="58">
        <v>0</v>
      </c>
    </row>
    <row r="52" spans="2:26" hidden="1" x14ac:dyDescent="0.35">
      <c r="B52" s="16"/>
      <c r="C52" s="43"/>
      <c r="D52" s="68">
        <f>SUM(D27:D51)</f>
        <v>1.0692999999999997</v>
      </c>
      <c r="E52" s="43"/>
      <c r="F52" s="61">
        <f>SUM(F27:F51)</f>
        <v>6.5509000000000004</v>
      </c>
      <c r="G52" s="43"/>
      <c r="H52" s="60">
        <f>SUM(H27:H51)</f>
        <v>1.3393468475390542</v>
      </c>
    </row>
    <row r="53" spans="2:26" x14ac:dyDescent="0.35">
      <c r="B53" s="13"/>
      <c r="D53" s="12"/>
    </row>
    <row r="54" spans="2:26" x14ac:dyDescent="0.35">
      <c r="B54" s="13"/>
      <c r="D54" s="12"/>
    </row>
    <row r="55" spans="2:26" x14ac:dyDescent="0.35">
      <c r="B55" s="72" t="s">
        <v>13</v>
      </c>
      <c r="C55" s="99">
        <v>7620</v>
      </c>
      <c r="D55" s="100"/>
    </row>
    <row r="56" spans="2:26" x14ac:dyDescent="0.35">
      <c r="B56" s="72" t="s">
        <v>14</v>
      </c>
      <c r="C56" s="99">
        <v>240</v>
      </c>
      <c r="D56" s="100"/>
    </row>
    <row r="57" spans="2:26" x14ac:dyDescent="0.35">
      <c r="B57" s="72" t="s">
        <v>17</v>
      </c>
      <c r="C57" s="99">
        <v>7</v>
      </c>
      <c r="D57" s="100"/>
    </row>
    <row r="58" spans="2:26" x14ac:dyDescent="0.35">
      <c r="B58" s="72" t="s">
        <v>15</v>
      </c>
      <c r="C58" s="99">
        <v>1</v>
      </c>
      <c r="D58" s="100"/>
    </row>
    <row r="59" spans="2:26" ht="15" thickBot="1" x14ac:dyDescent="0.4">
      <c r="B59" s="73" t="s">
        <v>16</v>
      </c>
      <c r="C59" s="101">
        <v>2.5</v>
      </c>
      <c r="D59" s="102"/>
    </row>
    <row r="61" spans="2:26" x14ac:dyDescent="0.35">
      <c r="B61" s="7" t="s">
        <v>26</v>
      </c>
    </row>
    <row r="63" spans="2:26" ht="15" thickBot="1" x14ac:dyDescent="0.4">
      <c r="B63" s="8" t="s">
        <v>19</v>
      </c>
    </row>
    <row r="64" spans="2:26" x14ac:dyDescent="0.35">
      <c r="B64" s="37"/>
      <c r="C64" s="9"/>
      <c r="D64" s="9"/>
      <c r="E64" s="9"/>
      <c r="F64" s="10"/>
    </row>
    <row r="65" spans="2:10" x14ac:dyDescent="0.35">
      <c r="B65" s="74" t="s">
        <v>28</v>
      </c>
      <c r="C65" s="50">
        <f>C11*1000/C56</f>
        <v>150</v>
      </c>
      <c r="F65" s="12"/>
    </row>
    <row r="66" spans="2:10" x14ac:dyDescent="0.35">
      <c r="B66" s="74" t="s">
        <v>22</v>
      </c>
      <c r="C66" s="103" t="s">
        <v>20</v>
      </c>
      <c r="D66" s="103"/>
      <c r="F66" s="12"/>
      <c r="J66" t="s">
        <v>74</v>
      </c>
    </row>
    <row r="67" spans="2:10" x14ac:dyDescent="0.35">
      <c r="B67" s="72" t="s">
        <v>21</v>
      </c>
      <c r="C67" s="95" t="s">
        <v>27</v>
      </c>
      <c r="D67" s="95"/>
      <c r="E67" s="95"/>
      <c r="F67" s="96"/>
      <c r="J67" t="s">
        <v>75</v>
      </c>
    </row>
    <row r="68" spans="2:10" x14ac:dyDescent="0.35">
      <c r="B68" s="17"/>
      <c r="C68" s="41"/>
      <c r="D68" s="41"/>
      <c r="E68" s="41"/>
      <c r="F68" s="75"/>
      <c r="J68" t="s">
        <v>76</v>
      </c>
    </row>
    <row r="69" spans="2:10" x14ac:dyDescent="0.35">
      <c r="B69" s="72" t="s">
        <v>66</v>
      </c>
      <c r="C69" s="46">
        <f>D125*F69</f>
        <v>4</v>
      </c>
      <c r="E69" s="48" t="s">
        <v>68</v>
      </c>
      <c r="F69" s="76">
        <v>1</v>
      </c>
    </row>
    <row r="70" spans="2:10" x14ac:dyDescent="0.35">
      <c r="B70" s="72" t="s">
        <v>67</v>
      </c>
      <c r="C70" s="46">
        <f>E125</f>
        <v>3</v>
      </c>
      <c r="E70" s="48" t="s">
        <v>69</v>
      </c>
      <c r="F70" s="76">
        <v>1</v>
      </c>
    </row>
    <row r="71" spans="2:10" x14ac:dyDescent="0.35">
      <c r="B71" s="77" t="s">
        <v>70</v>
      </c>
      <c r="C71" s="47">
        <v>3.36</v>
      </c>
      <c r="E71" s="52" t="s">
        <v>72</v>
      </c>
      <c r="F71" s="78">
        <v>0</v>
      </c>
    </row>
    <row r="72" spans="2:10" x14ac:dyDescent="0.35">
      <c r="B72" s="77" t="s">
        <v>71</v>
      </c>
      <c r="C72" s="47">
        <v>3.36</v>
      </c>
      <c r="E72" s="52" t="s">
        <v>73</v>
      </c>
      <c r="F72" s="78">
        <v>0</v>
      </c>
    </row>
    <row r="73" spans="2:10" x14ac:dyDescent="0.35">
      <c r="B73" s="17"/>
      <c r="C73" s="40"/>
      <c r="E73" s="48" t="s">
        <v>77</v>
      </c>
      <c r="F73" s="79">
        <f>$C$65/((B125*F69*F70)+(B120*F71*F72))</f>
        <v>12.5</v>
      </c>
    </row>
    <row r="74" spans="2:10" x14ac:dyDescent="0.35">
      <c r="B74" s="87" t="s">
        <v>123</v>
      </c>
      <c r="C74" s="88"/>
      <c r="F74" s="12"/>
    </row>
    <row r="75" spans="2:10" x14ac:dyDescent="0.35">
      <c r="B75" s="72" t="s">
        <v>81</v>
      </c>
      <c r="C75" s="46">
        <v>3</v>
      </c>
      <c r="E75" s="48" t="s">
        <v>122</v>
      </c>
      <c r="F75" s="80" t="s">
        <v>111</v>
      </c>
      <c r="G75" s="65" t="s">
        <v>92</v>
      </c>
      <c r="H75" s="40"/>
      <c r="I75" s="40"/>
      <c r="J75" s="40"/>
    </row>
    <row r="76" spans="2:10" x14ac:dyDescent="0.35">
      <c r="B76" s="77" t="s">
        <v>80</v>
      </c>
      <c r="C76" s="47">
        <v>2</v>
      </c>
      <c r="E76" s="48" t="s">
        <v>76</v>
      </c>
      <c r="F76" s="81">
        <v>100</v>
      </c>
    </row>
    <row r="77" spans="2:10" x14ac:dyDescent="0.35">
      <c r="B77" s="77" t="s">
        <v>79</v>
      </c>
      <c r="C77" s="47">
        <v>6</v>
      </c>
      <c r="E77" s="48" t="s">
        <v>85</v>
      </c>
      <c r="F77" s="81">
        <v>80</v>
      </c>
    </row>
    <row r="78" spans="2:10" x14ac:dyDescent="0.35">
      <c r="B78" s="17"/>
      <c r="C78" s="40"/>
      <c r="E78" s="52" t="s">
        <v>88</v>
      </c>
      <c r="F78" s="82">
        <v>0.95</v>
      </c>
    </row>
    <row r="79" spans="2:10" x14ac:dyDescent="0.35">
      <c r="B79" s="72" t="s">
        <v>82</v>
      </c>
      <c r="C79" s="46">
        <v>0.13</v>
      </c>
      <c r="E79" s="48" t="s">
        <v>86</v>
      </c>
      <c r="F79" s="83">
        <v>10</v>
      </c>
    </row>
    <row r="80" spans="2:10" x14ac:dyDescent="0.35">
      <c r="B80" s="77" t="s">
        <v>83</v>
      </c>
      <c r="C80" s="47">
        <v>7.5999999999999998E-2</v>
      </c>
      <c r="E80" s="48" t="s">
        <v>87</v>
      </c>
      <c r="F80" s="83">
        <v>1</v>
      </c>
    </row>
    <row r="81" spans="2:6" x14ac:dyDescent="0.35">
      <c r="B81" s="77" t="s">
        <v>84</v>
      </c>
      <c r="C81" s="47">
        <v>0.25</v>
      </c>
      <c r="E81" s="48" t="s">
        <v>107</v>
      </c>
      <c r="F81" s="84">
        <f>C56*10^6/(2.22*F76*F77*F79*F80*F78*10^3)</f>
        <v>1.4224751066856327</v>
      </c>
    </row>
    <row r="82" spans="2:6" x14ac:dyDescent="0.35">
      <c r="B82" s="17"/>
      <c r="C82" s="40"/>
      <c r="F82" s="12"/>
    </row>
    <row r="83" spans="2:6" x14ac:dyDescent="0.35">
      <c r="B83" s="72" t="s">
        <v>99</v>
      </c>
      <c r="C83" s="55">
        <v>4.2</v>
      </c>
      <c r="E83" s="48" t="s">
        <v>95</v>
      </c>
      <c r="F83" s="85">
        <f>F87/F79</f>
        <v>1.9600000000000002</v>
      </c>
    </row>
    <row r="84" spans="2:6" x14ac:dyDescent="0.35">
      <c r="B84" s="72" t="s">
        <v>100</v>
      </c>
      <c r="C84" s="55">
        <v>2</v>
      </c>
      <c r="E84" s="52" t="s">
        <v>91</v>
      </c>
      <c r="F84" s="78">
        <v>200</v>
      </c>
    </row>
    <row r="85" spans="2:6" x14ac:dyDescent="0.35">
      <c r="B85" s="72" t="s">
        <v>89</v>
      </c>
      <c r="C85" s="56">
        <f>10^2*(F79*F80/F77*C70)</f>
        <v>37.5</v>
      </c>
      <c r="E85" s="52" t="s">
        <v>93</v>
      </c>
      <c r="F85" s="86">
        <f>F80*F79+F77/2</f>
        <v>50</v>
      </c>
    </row>
    <row r="86" spans="2:6" x14ac:dyDescent="0.35">
      <c r="B86" s="17"/>
      <c r="C86" s="40"/>
      <c r="E86" s="52" t="s">
        <v>94</v>
      </c>
      <c r="F86" s="86">
        <f>F85*1.3</f>
        <v>65</v>
      </c>
    </row>
    <row r="87" spans="2:6" x14ac:dyDescent="0.35">
      <c r="B87" s="77" t="s">
        <v>96</v>
      </c>
      <c r="C87" s="53">
        <f>(F77*2+F76*C75*0.075)/100</f>
        <v>1.825</v>
      </c>
      <c r="E87" s="52" t="s">
        <v>90</v>
      </c>
      <c r="F87" s="86">
        <f>(F77*2+C75*2+F79*C70)/10</f>
        <v>19.600000000000001</v>
      </c>
    </row>
    <row r="88" spans="2:6" x14ac:dyDescent="0.35">
      <c r="B88" s="77" t="s">
        <v>101</v>
      </c>
      <c r="C88" s="53">
        <f>IF(C76=0,0,F87*F77)/1000</f>
        <v>1.5680000000000001</v>
      </c>
      <c r="F88" s="12"/>
    </row>
    <row r="89" spans="2:6" x14ac:dyDescent="0.35">
      <c r="B89" s="77" t="s">
        <v>102</v>
      </c>
      <c r="C89" s="53">
        <f>IF(C77=0,0,F87*F77*0.2)/1000</f>
        <v>0.31360000000000005</v>
      </c>
      <c r="E89" s="6"/>
      <c r="F89" s="12"/>
    </row>
    <row r="90" spans="2:6" x14ac:dyDescent="0.35">
      <c r="B90" s="77" t="s">
        <v>103</v>
      </c>
      <c r="C90" s="53">
        <f>(C79*F87*F77*2)/1000</f>
        <v>0.40768000000000004</v>
      </c>
      <c r="E90" s="6"/>
      <c r="F90" s="12"/>
    </row>
    <row r="91" spans="2:6" x14ac:dyDescent="0.35">
      <c r="B91" s="77" t="s">
        <v>104</v>
      </c>
      <c r="C91" s="53">
        <f>(C80*F87*F77*2)/1000</f>
        <v>0.23833600000000002</v>
      </c>
      <c r="F91" s="12"/>
    </row>
    <row r="92" spans="2:6" x14ac:dyDescent="0.35">
      <c r="B92" s="77" t="s">
        <v>105</v>
      </c>
      <c r="C92" s="53">
        <f>(C81*F87*F77*2)/1000</f>
        <v>0.78400000000000003</v>
      </c>
      <c r="F92" s="12"/>
    </row>
    <row r="93" spans="2:6" x14ac:dyDescent="0.35">
      <c r="B93" s="77" t="s">
        <v>106</v>
      </c>
      <c r="C93" s="53">
        <f>(C83*F87*F77*2)/1000</f>
        <v>13.171200000000001</v>
      </c>
      <c r="F93" s="12"/>
    </row>
    <row r="94" spans="2:6" x14ac:dyDescent="0.35">
      <c r="B94" s="77" t="s">
        <v>108</v>
      </c>
      <c r="C94" s="53">
        <f>(C69*C70+F76*F77+F87)/1000</f>
        <v>8.031600000000001</v>
      </c>
      <c r="F94" s="12"/>
    </row>
    <row r="95" spans="2:6" x14ac:dyDescent="0.35">
      <c r="B95" s="77" t="s">
        <v>109</v>
      </c>
      <c r="C95" s="53">
        <f>IF(C71=0,0,(C71*C72+F76*F77+F87)/1000)</f>
        <v>8.0308896000000001</v>
      </c>
      <c r="F95" s="12"/>
    </row>
    <row r="96" spans="2:6" x14ac:dyDescent="0.35">
      <c r="B96" s="77" t="s">
        <v>97</v>
      </c>
      <c r="C96" s="54">
        <f>F87*F76*0.076</f>
        <v>148.96</v>
      </c>
      <c r="F96" s="12"/>
    </row>
    <row r="97" spans="2:19" ht="15" thickBot="1" x14ac:dyDescent="0.4">
      <c r="B97" s="18"/>
      <c r="C97" s="19"/>
      <c r="D97" s="19"/>
      <c r="E97" s="19"/>
      <c r="F97" s="20"/>
    </row>
    <row r="98" spans="2:19" x14ac:dyDescent="0.35">
      <c r="B98" s="6"/>
      <c r="C98" s="51"/>
    </row>
    <row r="99" spans="2:19" x14ac:dyDescent="0.35">
      <c r="B99" s="6"/>
      <c r="C99" s="51"/>
    </row>
    <row r="100" spans="2:19" x14ac:dyDescent="0.35">
      <c r="B100" s="6"/>
      <c r="C100" s="51"/>
    </row>
    <row r="102" spans="2:19" ht="15" thickBot="1" x14ac:dyDescent="0.4">
      <c r="B102" s="92" t="s">
        <v>43</v>
      </c>
      <c r="C102" s="93"/>
      <c r="D102" s="93"/>
      <c r="E102" s="93"/>
      <c r="F102" s="94"/>
      <c r="G102" s="6"/>
      <c r="H102" s="6"/>
      <c r="S102" s="12"/>
    </row>
    <row r="103" spans="2:19" ht="15" thickBot="1" x14ac:dyDescent="0.4">
      <c r="B103" s="33" t="s">
        <v>23</v>
      </c>
      <c r="C103" s="34" t="s">
        <v>65</v>
      </c>
      <c r="D103" s="34" t="s">
        <v>44</v>
      </c>
      <c r="E103" s="34" t="s">
        <v>45</v>
      </c>
      <c r="F103" s="35" t="s">
        <v>46</v>
      </c>
      <c r="G103" s="43"/>
      <c r="H103" s="43"/>
      <c r="S103" s="12"/>
    </row>
    <row r="104" spans="2:19" x14ac:dyDescent="0.35">
      <c r="B104" s="36">
        <v>0.16300000000000001</v>
      </c>
      <c r="C104" s="31">
        <v>25</v>
      </c>
      <c r="D104" s="31">
        <v>0.51100000000000001</v>
      </c>
      <c r="E104" s="31">
        <v>0.45500000000000002</v>
      </c>
      <c r="F104" s="32">
        <f>(D104-E104)</f>
        <v>5.5999999999999994E-2</v>
      </c>
      <c r="G104" s="44"/>
      <c r="H104" s="44"/>
      <c r="K104" s="44"/>
      <c r="S104" s="12"/>
    </row>
    <row r="105" spans="2:19" x14ac:dyDescent="0.35">
      <c r="B105" s="23">
        <v>0.20499999999999999</v>
      </c>
      <c r="C105" s="22">
        <v>24</v>
      </c>
      <c r="D105" s="22">
        <v>0.56899999999999995</v>
      </c>
      <c r="E105" s="22">
        <v>0.51100000000000001</v>
      </c>
      <c r="F105" s="32">
        <f t="shared" ref="F105:F121" si="6">(D105-E105)</f>
        <v>5.799999999999994E-2</v>
      </c>
      <c r="G105" s="44"/>
      <c r="H105" s="44"/>
      <c r="K105" s="44"/>
      <c r="S105" s="12"/>
    </row>
    <row r="106" spans="2:19" x14ac:dyDescent="0.35">
      <c r="B106" s="23">
        <v>0.25900000000000001</v>
      </c>
      <c r="C106" s="22">
        <v>23</v>
      </c>
      <c r="D106" s="22">
        <v>0.63200000000000001</v>
      </c>
      <c r="E106" s="22">
        <v>0.57399999999999995</v>
      </c>
      <c r="F106" s="32">
        <f t="shared" si="6"/>
        <v>5.8000000000000052E-2</v>
      </c>
      <c r="G106" s="44"/>
      <c r="H106" s="44"/>
      <c r="K106" s="44"/>
      <c r="S106" s="12"/>
    </row>
    <row r="107" spans="2:19" x14ac:dyDescent="0.35">
      <c r="B107" s="23">
        <v>0.32400000000000001</v>
      </c>
      <c r="C107" s="22">
        <v>22</v>
      </c>
      <c r="D107" s="22">
        <v>0.70399999999999996</v>
      </c>
      <c r="E107" s="22">
        <v>0.64300000000000002</v>
      </c>
      <c r="F107" s="32">
        <f t="shared" si="6"/>
        <v>6.0999999999999943E-2</v>
      </c>
      <c r="G107" s="44"/>
      <c r="H107" s="44"/>
      <c r="K107" s="44"/>
      <c r="S107" s="12"/>
    </row>
    <row r="108" spans="2:19" x14ac:dyDescent="0.35">
      <c r="B108" s="23">
        <v>0.41199999999999998</v>
      </c>
      <c r="C108" s="22">
        <v>21</v>
      </c>
      <c r="D108" s="22">
        <v>0.78700000000000003</v>
      </c>
      <c r="E108" s="22">
        <v>0.72399999999999998</v>
      </c>
      <c r="F108" s="32">
        <f t="shared" si="6"/>
        <v>6.3000000000000056E-2</v>
      </c>
      <c r="G108" s="44"/>
      <c r="H108" s="44"/>
      <c r="K108" s="44"/>
      <c r="S108" s="12"/>
    </row>
    <row r="109" spans="2:19" x14ac:dyDescent="0.35">
      <c r="B109" s="23">
        <v>0.51900000000000002</v>
      </c>
      <c r="C109" s="22">
        <v>20</v>
      </c>
      <c r="D109" s="22">
        <v>0.879</v>
      </c>
      <c r="E109" s="22">
        <v>0.81299999999999994</v>
      </c>
      <c r="F109" s="32">
        <f t="shared" si="6"/>
        <v>6.6000000000000059E-2</v>
      </c>
      <c r="G109" s="44"/>
      <c r="H109" s="44"/>
      <c r="K109" s="44"/>
      <c r="S109" s="12"/>
    </row>
    <row r="110" spans="2:19" x14ac:dyDescent="0.35">
      <c r="B110" s="23">
        <v>0.65300000000000002</v>
      </c>
      <c r="C110" s="22">
        <v>19</v>
      </c>
      <c r="D110" s="22">
        <v>0.98299999999999998</v>
      </c>
      <c r="E110" s="22">
        <v>0.91200000000000003</v>
      </c>
      <c r="F110" s="32">
        <f t="shared" si="6"/>
        <v>7.0999999999999952E-2</v>
      </c>
      <c r="G110" s="44"/>
      <c r="H110" s="44"/>
      <c r="K110" s="44"/>
      <c r="S110" s="12"/>
    </row>
    <row r="111" spans="2:19" x14ac:dyDescent="0.35">
      <c r="B111" s="23">
        <v>0.82299999999999995</v>
      </c>
      <c r="C111" s="22">
        <v>18</v>
      </c>
      <c r="D111" s="22">
        <v>1.097</v>
      </c>
      <c r="E111" s="22">
        <v>1.024</v>
      </c>
      <c r="F111" s="32">
        <f t="shared" si="6"/>
        <v>7.2999999999999954E-2</v>
      </c>
      <c r="G111" s="44"/>
      <c r="H111" s="44"/>
      <c r="K111" s="44"/>
      <c r="S111" s="12"/>
    </row>
    <row r="112" spans="2:19" x14ac:dyDescent="0.35">
      <c r="B112" s="23">
        <v>1.04</v>
      </c>
      <c r="C112" s="22">
        <v>17</v>
      </c>
      <c r="D112" s="22">
        <v>1.2270000000000001</v>
      </c>
      <c r="E112" s="22">
        <v>1.151</v>
      </c>
      <c r="F112" s="32">
        <f t="shared" si="6"/>
        <v>7.6000000000000068E-2</v>
      </c>
      <c r="G112" s="44"/>
      <c r="H112" s="44"/>
      <c r="K112" s="44"/>
      <c r="S112" s="12"/>
    </row>
    <row r="113" spans="2:19" x14ac:dyDescent="0.35">
      <c r="B113" s="23">
        <v>1.3069999999999999</v>
      </c>
      <c r="C113" s="22">
        <v>16</v>
      </c>
      <c r="D113" s="22">
        <v>1.367</v>
      </c>
      <c r="E113" s="22">
        <v>1.29</v>
      </c>
      <c r="F113" s="32">
        <f t="shared" si="6"/>
        <v>7.6999999999999957E-2</v>
      </c>
      <c r="G113" s="44"/>
      <c r="H113" s="44"/>
      <c r="K113" s="44"/>
      <c r="S113" s="12"/>
    </row>
    <row r="114" spans="2:19" x14ac:dyDescent="0.35">
      <c r="B114" s="23">
        <v>1.651</v>
      </c>
      <c r="C114" s="22">
        <v>15</v>
      </c>
      <c r="D114" s="22">
        <v>1.5289999999999999</v>
      </c>
      <c r="E114" s="22">
        <v>1.45</v>
      </c>
      <c r="F114" s="32">
        <f t="shared" si="6"/>
        <v>7.8999999999999959E-2</v>
      </c>
      <c r="G114" s="44"/>
      <c r="H114" s="44"/>
      <c r="K114" s="44"/>
      <c r="S114" s="12"/>
    </row>
    <row r="115" spans="2:19" x14ac:dyDescent="0.35">
      <c r="B115" s="23">
        <v>2.0819999999999999</v>
      </c>
      <c r="C115" s="22">
        <v>14</v>
      </c>
      <c r="D115" s="22">
        <v>1.7090000000000001</v>
      </c>
      <c r="E115" s="22">
        <v>1.6279999999999999</v>
      </c>
      <c r="F115" s="32">
        <f t="shared" si="6"/>
        <v>8.1000000000000183E-2</v>
      </c>
      <c r="G115" s="44"/>
      <c r="H115" s="44"/>
      <c r="K115" s="44"/>
      <c r="S115" s="12"/>
    </row>
    <row r="116" spans="2:19" x14ac:dyDescent="0.35">
      <c r="B116" s="23">
        <v>2.6269999999999998</v>
      </c>
      <c r="C116" s="22">
        <v>13</v>
      </c>
      <c r="D116" s="22">
        <v>1.913</v>
      </c>
      <c r="E116" s="22">
        <v>1.829</v>
      </c>
      <c r="F116" s="32">
        <f t="shared" si="6"/>
        <v>8.4000000000000075E-2</v>
      </c>
      <c r="G116" s="44"/>
      <c r="H116" s="44"/>
      <c r="K116" s="44"/>
      <c r="S116" s="12"/>
    </row>
    <row r="117" spans="2:19" x14ac:dyDescent="0.35">
      <c r="B117" s="23">
        <v>3.3069999999999999</v>
      </c>
      <c r="C117" s="22">
        <v>12</v>
      </c>
      <c r="D117" s="22">
        <v>2.1389999999999998</v>
      </c>
      <c r="E117" s="22">
        <v>2.052</v>
      </c>
      <c r="F117" s="32">
        <f t="shared" si="6"/>
        <v>8.6999999999999744E-2</v>
      </c>
      <c r="G117" s="44"/>
      <c r="H117" s="44"/>
      <c r="K117" s="44"/>
      <c r="S117" s="12"/>
    </row>
    <row r="118" spans="2:19" x14ac:dyDescent="0.35">
      <c r="B118" s="23">
        <v>4.1689999999999996</v>
      </c>
      <c r="C118" s="22">
        <v>11</v>
      </c>
      <c r="D118" s="22">
        <v>2.39</v>
      </c>
      <c r="E118" s="22">
        <v>2.3039999999999998</v>
      </c>
      <c r="F118" s="32">
        <f t="shared" si="6"/>
        <v>8.6000000000000298E-2</v>
      </c>
      <c r="G118" s="44"/>
      <c r="H118" s="44"/>
      <c r="K118" s="44"/>
      <c r="S118" s="12"/>
    </row>
    <row r="119" spans="2:19" x14ac:dyDescent="0.35">
      <c r="B119" s="23">
        <v>5.2610000000000001</v>
      </c>
      <c r="C119" s="22">
        <v>10</v>
      </c>
      <c r="D119" s="22">
        <v>2.68</v>
      </c>
      <c r="E119" s="22">
        <v>2.5880000000000001</v>
      </c>
      <c r="F119" s="32">
        <f t="shared" si="6"/>
        <v>9.2000000000000082E-2</v>
      </c>
      <c r="G119" s="44"/>
      <c r="H119" s="44"/>
      <c r="K119" s="44"/>
      <c r="S119" s="12"/>
    </row>
    <row r="120" spans="2:19" x14ac:dyDescent="0.35">
      <c r="B120" s="23">
        <v>6.6310000000000002</v>
      </c>
      <c r="C120" s="22">
        <v>9</v>
      </c>
      <c r="D120" s="22">
        <v>2.99</v>
      </c>
      <c r="E120" s="22">
        <v>2.9060000000000001</v>
      </c>
      <c r="F120" s="32">
        <f t="shared" si="6"/>
        <v>8.4000000000000075E-2</v>
      </c>
      <c r="G120" s="44"/>
      <c r="H120" s="44"/>
      <c r="K120" s="44"/>
      <c r="S120" s="12"/>
    </row>
    <row r="121" spans="2:19" ht="15" thickBot="1" x14ac:dyDescent="0.4">
      <c r="B121" s="25">
        <v>8.3670000000000009</v>
      </c>
      <c r="C121" s="26">
        <v>8</v>
      </c>
      <c r="D121" s="26">
        <v>3.36</v>
      </c>
      <c r="E121" s="26">
        <v>3.2639999999999998</v>
      </c>
      <c r="F121" s="39">
        <f t="shared" si="6"/>
        <v>9.6000000000000085E-2</v>
      </c>
      <c r="G121" s="44"/>
      <c r="H121" s="44"/>
      <c r="K121" s="44"/>
      <c r="S121" s="12"/>
    </row>
    <row r="122" spans="2:19" ht="15" thickBot="1" x14ac:dyDescent="0.4">
      <c r="B122" s="38"/>
      <c r="C122" s="44"/>
      <c r="D122" s="44"/>
      <c r="E122" s="44"/>
      <c r="F122" s="44"/>
      <c r="G122" s="44"/>
      <c r="H122" s="44"/>
      <c r="S122" s="12"/>
    </row>
    <row r="123" spans="2:19" ht="15" thickBot="1" x14ac:dyDescent="0.4">
      <c r="B123" s="89" t="s">
        <v>51</v>
      </c>
      <c r="C123" s="90"/>
      <c r="D123" s="90"/>
      <c r="E123" s="90"/>
      <c r="F123" s="91"/>
      <c r="G123" s="44"/>
      <c r="H123" s="44"/>
      <c r="S123" s="12"/>
    </row>
    <row r="124" spans="2:19" ht="15" thickBot="1" x14ac:dyDescent="0.4">
      <c r="B124" s="33" t="s">
        <v>23</v>
      </c>
      <c r="C124" s="34" t="s">
        <v>65</v>
      </c>
      <c r="D124" s="34" t="s">
        <v>54</v>
      </c>
      <c r="E124" s="34" t="s">
        <v>53</v>
      </c>
      <c r="F124" s="35" t="s">
        <v>46</v>
      </c>
      <c r="G124" s="44"/>
      <c r="H124" s="44"/>
      <c r="S124" s="12"/>
    </row>
    <row r="125" spans="2:19" x14ac:dyDescent="0.35">
      <c r="B125" s="36">
        <f>D125*E125</f>
        <v>12</v>
      </c>
      <c r="C125" s="30" t="s">
        <v>47</v>
      </c>
      <c r="D125" s="31">
        <v>4</v>
      </c>
      <c r="E125" s="31">
        <v>3</v>
      </c>
      <c r="F125" s="32">
        <v>7.4999999999999997E-2</v>
      </c>
      <c r="G125" s="44"/>
      <c r="H125" s="44"/>
      <c r="S125" s="12"/>
    </row>
    <row r="126" spans="2:19" x14ac:dyDescent="0.35">
      <c r="B126" s="23">
        <f t="shared" ref="B126:B128" si="7">D126*E126</f>
        <v>18</v>
      </c>
      <c r="C126" s="28" t="s">
        <v>48</v>
      </c>
      <c r="D126" s="22">
        <v>6</v>
      </c>
      <c r="E126" s="22">
        <v>3</v>
      </c>
      <c r="F126" s="24">
        <v>7.4999999999999997E-2</v>
      </c>
      <c r="G126" s="44"/>
      <c r="H126" s="44"/>
      <c r="S126" s="12"/>
    </row>
    <row r="127" spans="2:19" x14ac:dyDescent="0.35">
      <c r="B127" s="23">
        <f t="shared" si="7"/>
        <v>24</v>
      </c>
      <c r="C127" s="28" t="s">
        <v>52</v>
      </c>
      <c r="D127" s="22">
        <v>6</v>
      </c>
      <c r="E127" s="22">
        <v>4</v>
      </c>
      <c r="F127" s="24">
        <v>7.4999999999999997E-2</v>
      </c>
      <c r="G127" s="44"/>
      <c r="H127" s="44"/>
      <c r="S127" s="12"/>
    </row>
    <row r="128" spans="2:19" x14ac:dyDescent="0.35">
      <c r="B128" s="23">
        <f t="shared" si="7"/>
        <v>32</v>
      </c>
      <c r="C128" s="28" t="s">
        <v>49</v>
      </c>
      <c r="D128" s="22">
        <v>8</v>
      </c>
      <c r="E128" s="22">
        <v>4</v>
      </c>
      <c r="F128" s="24">
        <v>7.4999999999999997E-2</v>
      </c>
      <c r="G128" s="44"/>
      <c r="H128" s="44"/>
      <c r="S128" s="12"/>
    </row>
    <row r="129" spans="2:19" ht="15" thickBot="1" x14ac:dyDescent="0.4">
      <c r="B129" s="25">
        <f>D129*E129</f>
        <v>40</v>
      </c>
      <c r="C129" s="29" t="s">
        <v>50</v>
      </c>
      <c r="D129" s="26">
        <v>10</v>
      </c>
      <c r="E129" s="26">
        <v>4</v>
      </c>
      <c r="F129" s="27">
        <v>7.4999999999999997E-2</v>
      </c>
      <c r="G129" s="44"/>
      <c r="H129" s="44"/>
      <c r="S129" s="12"/>
    </row>
    <row r="130" spans="2:19" ht="15" thickBot="1" x14ac:dyDescent="0.4">
      <c r="B130" s="38"/>
      <c r="C130" s="44"/>
      <c r="D130" s="44"/>
      <c r="E130" s="44"/>
      <c r="F130" s="44"/>
      <c r="G130" s="44"/>
      <c r="H130" s="44"/>
      <c r="S130" s="12"/>
    </row>
    <row r="131" spans="2:19" ht="15" thickBot="1" x14ac:dyDescent="0.4">
      <c r="B131" s="89" t="s">
        <v>55</v>
      </c>
      <c r="C131" s="90"/>
      <c r="D131" s="90"/>
      <c r="E131" s="90"/>
      <c r="F131" s="91"/>
      <c r="G131" s="44"/>
      <c r="H131" s="44"/>
      <c r="S131" s="12"/>
    </row>
    <row r="132" spans="2:19" ht="15" thickBot="1" x14ac:dyDescent="0.4">
      <c r="B132" s="33" t="s">
        <v>23</v>
      </c>
      <c r="C132" s="34" t="s">
        <v>65</v>
      </c>
      <c r="D132" s="34" t="s">
        <v>54</v>
      </c>
      <c r="E132" s="34" t="s">
        <v>53</v>
      </c>
      <c r="F132" s="35" t="s">
        <v>46</v>
      </c>
      <c r="G132" s="44"/>
      <c r="H132" s="44"/>
      <c r="S132" s="12"/>
    </row>
    <row r="133" spans="2:19" x14ac:dyDescent="0.35">
      <c r="B133" s="36">
        <f t="shared" ref="B133:B135" si="8">D133*E133</f>
        <v>18</v>
      </c>
      <c r="C133" s="30" t="s">
        <v>48</v>
      </c>
      <c r="D133" s="31">
        <v>6</v>
      </c>
      <c r="E133" s="31">
        <v>3</v>
      </c>
      <c r="F133" s="32">
        <v>7.4999999999999997E-2</v>
      </c>
      <c r="G133" s="44"/>
      <c r="H133" s="44"/>
      <c r="S133" s="12"/>
    </row>
    <row r="134" spans="2:19" x14ac:dyDescent="0.35">
      <c r="B134" s="23">
        <f t="shared" si="8"/>
        <v>32</v>
      </c>
      <c r="C134" s="28" t="s">
        <v>49</v>
      </c>
      <c r="D134" s="22">
        <v>8</v>
      </c>
      <c r="E134" s="22">
        <v>4</v>
      </c>
      <c r="F134" s="24">
        <v>7.4999999999999997E-2</v>
      </c>
      <c r="G134" s="44"/>
      <c r="H134" s="44"/>
      <c r="S134" s="12"/>
    </row>
    <row r="135" spans="2:19" ht="15" thickBot="1" x14ac:dyDescent="0.4">
      <c r="B135" s="25">
        <f t="shared" si="8"/>
        <v>40</v>
      </c>
      <c r="C135" s="29" t="s">
        <v>50</v>
      </c>
      <c r="D135" s="26">
        <v>10</v>
      </c>
      <c r="E135" s="26">
        <v>4</v>
      </c>
      <c r="F135" s="27">
        <v>7.4999999999999997E-2</v>
      </c>
      <c r="G135" s="44"/>
      <c r="H135" s="44"/>
      <c r="S135" s="12"/>
    </row>
    <row r="136" spans="2:19" ht="15" thickBot="1" x14ac:dyDescent="0.4">
      <c r="B136" s="38"/>
      <c r="C136" s="44"/>
      <c r="D136" s="44"/>
      <c r="E136" s="44"/>
      <c r="F136" s="44"/>
      <c r="G136" s="44"/>
      <c r="H136" s="44"/>
      <c r="S136" s="12"/>
    </row>
    <row r="137" spans="2:19" ht="15" thickBot="1" x14ac:dyDescent="0.4">
      <c r="B137" s="89" t="s">
        <v>56</v>
      </c>
      <c r="C137" s="90"/>
      <c r="D137" s="90"/>
      <c r="E137" s="90"/>
      <c r="F137" s="91"/>
      <c r="G137" s="44"/>
      <c r="H137" s="44"/>
      <c r="S137" s="12"/>
    </row>
    <row r="138" spans="2:19" ht="15" thickBot="1" x14ac:dyDescent="0.4">
      <c r="B138" s="33" t="s">
        <v>23</v>
      </c>
      <c r="C138" s="34" t="s">
        <v>65</v>
      </c>
      <c r="D138" s="34" t="s">
        <v>54</v>
      </c>
      <c r="E138" s="34" t="s">
        <v>53</v>
      </c>
      <c r="F138" s="35" t="s">
        <v>46</v>
      </c>
      <c r="G138" s="44"/>
      <c r="H138" s="44"/>
      <c r="S138" s="12"/>
    </row>
    <row r="139" spans="2:19" x14ac:dyDescent="0.35">
      <c r="B139" s="36">
        <f>B125+B120</f>
        <v>18.631</v>
      </c>
      <c r="C139" s="30" t="s">
        <v>57</v>
      </c>
      <c r="D139" s="31">
        <f>D125+E120</f>
        <v>6.9060000000000006</v>
      </c>
      <c r="E139" s="31">
        <v>3</v>
      </c>
      <c r="F139" s="32">
        <f>F125+F120</f>
        <v>0.15900000000000009</v>
      </c>
      <c r="G139" s="44"/>
      <c r="H139" s="44"/>
      <c r="S139" s="12"/>
    </row>
    <row r="140" spans="2:19" x14ac:dyDescent="0.35">
      <c r="B140" s="23">
        <f>B126+B120</f>
        <v>24.631</v>
      </c>
      <c r="C140" s="28" t="s">
        <v>58</v>
      </c>
      <c r="D140" s="22">
        <f>D126+E120</f>
        <v>8.9060000000000006</v>
      </c>
      <c r="E140" s="22">
        <v>3</v>
      </c>
      <c r="F140" s="24">
        <f>F126+F120</f>
        <v>0.15900000000000009</v>
      </c>
      <c r="G140" s="44"/>
      <c r="H140" s="44"/>
      <c r="S140" s="12"/>
    </row>
    <row r="141" spans="2:19" x14ac:dyDescent="0.35">
      <c r="B141" s="23">
        <f>B127+B121</f>
        <v>32.367000000000004</v>
      </c>
      <c r="C141" s="28" t="s">
        <v>59</v>
      </c>
      <c r="D141" s="22">
        <f>D127+E121</f>
        <v>9.2639999999999993</v>
      </c>
      <c r="E141" s="22">
        <v>4</v>
      </c>
      <c r="F141" s="24">
        <f>F127+F121</f>
        <v>0.1710000000000001</v>
      </c>
      <c r="G141" s="44"/>
      <c r="H141" s="44"/>
      <c r="S141" s="12"/>
    </row>
    <row r="142" spans="2:19" x14ac:dyDescent="0.35">
      <c r="B142" s="23">
        <f>B128+B121</f>
        <v>40.367000000000004</v>
      </c>
      <c r="C142" s="28" t="s">
        <v>60</v>
      </c>
      <c r="D142" s="22">
        <f>D128+E121</f>
        <v>11.263999999999999</v>
      </c>
      <c r="E142" s="22">
        <v>4</v>
      </c>
      <c r="F142" s="24">
        <f>F128+F121</f>
        <v>0.1710000000000001</v>
      </c>
      <c r="G142" s="44"/>
      <c r="H142" s="44"/>
      <c r="S142" s="12"/>
    </row>
    <row r="143" spans="2:19" ht="15" thickBot="1" x14ac:dyDescent="0.4">
      <c r="B143" s="25">
        <f t="shared" ref="B143" si="9">D143*E143</f>
        <v>193.46800000000002</v>
      </c>
      <c r="C143" s="29" t="s">
        <v>61</v>
      </c>
      <c r="D143" s="26">
        <f>B129+B121</f>
        <v>48.367000000000004</v>
      </c>
      <c r="E143" s="26">
        <v>4</v>
      </c>
      <c r="F143" s="27">
        <f>F129+F121</f>
        <v>0.1710000000000001</v>
      </c>
      <c r="G143" s="44"/>
      <c r="H143" s="44"/>
      <c r="S143" s="12"/>
    </row>
    <row r="144" spans="2:19" ht="15" thickBot="1" x14ac:dyDescent="0.4">
      <c r="B144" s="38"/>
      <c r="C144" s="44"/>
      <c r="D144" s="44"/>
      <c r="E144" s="44"/>
      <c r="F144" s="44"/>
      <c r="G144" s="44"/>
      <c r="H144" s="44"/>
      <c r="S144" s="12"/>
    </row>
    <row r="145" spans="2:19" ht="15" thickBot="1" x14ac:dyDescent="0.4">
      <c r="B145" s="89" t="s">
        <v>62</v>
      </c>
      <c r="C145" s="90"/>
      <c r="D145" s="90"/>
      <c r="E145" s="90"/>
      <c r="F145" s="91"/>
      <c r="G145" s="44"/>
      <c r="H145" s="44"/>
      <c r="S145" s="12"/>
    </row>
    <row r="146" spans="2:19" ht="15" thickBot="1" x14ac:dyDescent="0.4">
      <c r="B146" s="33" t="s">
        <v>23</v>
      </c>
      <c r="C146" s="34" t="s">
        <v>65</v>
      </c>
      <c r="D146" s="34" t="s">
        <v>54</v>
      </c>
      <c r="E146" s="34" t="s">
        <v>53</v>
      </c>
      <c r="F146" s="35" t="s">
        <v>46</v>
      </c>
      <c r="G146" s="44"/>
      <c r="H146" s="44"/>
      <c r="S146" s="12"/>
    </row>
    <row r="147" spans="2:19" x14ac:dyDescent="0.35">
      <c r="B147" s="36">
        <f>B133+B120</f>
        <v>24.631</v>
      </c>
      <c r="C147" s="30" t="s">
        <v>58</v>
      </c>
      <c r="D147" s="31">
        <f>D133+E120</f>
        <v>8.9060000000000006</v>
      </c>
      <c r="E147" s="31">
        <v>3</v>
      </c>
      <c r="F147" s="32">
        <f>F133+F120</f>
        <v>0.15900000000000009</v>
      </c>
      <c r="G147" s="44"/>
      <c r="H147" s="44"/>
      <c r="S147" s="12"/>
    </row>
    <row r="148" spans="2:19" x14ac:dyDescent="0.35">
      <c r="B148" s="23">
        <f>B134+B121</f>
        <v>40.367000000000004</v>
      </c>
      <c r="C148" s="28" t="s">
        <v>63</v>
      </c>
      <c r="D148" s="22">
        <f>D134+E121</f>
        <v>11.263999999999999</v>
      </c>
      <c r="E148" s="22">
        <v>4</v>
      </c>
      <c r="F148" s="24">
        <f>F134+F121</f>
        <v>0.1710000000000001</v>
      </c>
      <c r="G148" s="44"/>
      <c r="H148" s="44"/>
      <c r="S148" s="12"/>
    </row>
    <row r="149" spans="2:19" ht="15" thickBot="1" x14ac:dyDescent="0.4">
      <c r="B149" s="25">
        <f>B135+B121</f>
        <v>48.367000000000004</v>
      </c>
      <c r="C149" s="29" t="s">
        <v>64</v>
      </c>
      <c r="D149" s="26">
        <f>D135+E121</f>
        <v>13.263999999999999</v>
      </c>
      <c r="E149" s="26">
        <v>4</v>
      </c>
      <c r="F149" s="27">
        <f>F135+F121</f>
        <v>0.1710000000000001</v>
      </c>
      <c r="G149" s="44"/>
      <c r="H149" s="44"/>
      <c r="S149" s="12"/>
    </row>
    <row r="150" spans="2:19" ht="15" thickBot="1" x14ac:dyDescent="0.4">
      <c r="B150" s="13"/>
      <c r="S150" s="12"/>
    </row>
    <row r="151" spans="2:19" ht="15" thickBot="1" x14ac:dyDescent="0.4">
      <c r="B151" s="89" t="s">
        <v>29</v>
      </c>
      <c r="C151" s="90"/>
      <c r="D151" s="90"/>
      <c r="E151" s="91"/>
      <c r="S151" s="12"/>
    </row>
    <row r="152" spans="2:19" ht="15" thickBot="1" x14ac:dyDescent="0.4">
      <c r="B152" s="33" t="s">
        <v>23</v>
      </c>
      <c r="C152" s="34" t="s">
        <v>65</v>
      </c>
      <c r="D152" s="34" t="s">
        <v>36</v>
      </c>
      <c r="E152" s="35" t="s">
        <v>37</v>
      </c>
      <c r="F152" s="43"/>
      <c r="G152" s="43"/>
      <c r="H152" s="43"/>
      <c r="S152" s="12"/>
    </row>
    <row r="153" spans="2:19" x14ac:dyDescent="0.35">
      <c r="B153" s="36">
        <f>D153*E153</f>
        <v>23.1</v>
      </c>
      <c r="C153" s="31" t="s">
        <v>30</v>
      </c>
      <c r="D153" s="31">
        <v>105</v>
      </c>
      <c r="E153" s="32">
        <v>0.22</v>
      </c>
      <c r="F153" s="43"/>
      <c r="G153" s="43"/>
      <c r="H153" s="43"/>
      <c r="S153" s="12"/>
    </row>
    <row r="154" spans="2:19" x14ac:dyDescent="0.35">
      <c r="B154" s="23">
        <f t="shared" ref="B154:B158" si="10">D154*E154</f>
        <v>41.6</v>
      </c>
      <c r="C154" s="22" t="s">
        <v>31</v>
      </c>
      <c r="D154" s="22">
        <v>130</v>
      </c>
      <c r="E154" s="24">
        <v>0.32</v>
      </c>
      <c r="F154" s="43"/>
      <c r="G154" s="43"/>
      <c r="H154" s="43"/>
      <c r="S154" s="12"/>
    </row>
    <row r="155" spans="2:19" x14ac:dyDescent="0.35">
      <c r="B155" s="23">
        <f t="shared" si="10"/>
        <v>75</v>
      </c>
      <c r="C155" s="22" t="s">
        <v>32</v>
      </c>
      <c r="D155" s="22">
        <v>150</v>
      </c>
      <c r="E155" s="24">
        <v>0.5</v>
      </c>
      <c r="F155" s="43"/>
      <c r="G155" s="43"/>
      <c r="H155" s="43"/>
      <c r="S155" s="12"/>
    </row>
    <row r="156" spans="2:19" x14ac:dyDescent="0.35">
      <c r="B156" s="23">
        <f t="shared" si="10"/>
        <v>104</v>
      </c>
      <c r="C156" s="22" t="s">
        <v>34</v>
      </c>
      <c r="D156" s="22">
        <v>160</v>
      </c>
      <c r="E156" s="24">
        <v>0.65</v>
      </c>
      <c r="F156" s="43"/>
      <c r="G156" s="43"/>
      <c r="H156" s="43"/>
      <c r="S156" s="12"/>
    </row>
    <row r="157" spans="2:19" x14ac:dyDescent="0.35">
      <c r="B157" s="23">
        <f t="shared" si="10"/>
        <v>153</v>
      </c>
      <c r="C157" s="22" t="s">
        <v>33</v>
      </c>
      <c r="D157" s="22">
        <v>170</v>
      </c>
      <c r="E157" s="24">
        <v>0.9</v>
      </c>
      <c r="F157" s="43"/>
      <c r="G157" s="43"/>
      <c r="H157" s="43"/>
      <c r="S157" s="12"/>
    </row>
    <row r="158" spans="2:19" ht="15" thickBot="1" x14ac:dyDescent="0.4">
      <c r="B158" s="25">
        <f t="shared" si="10"/>
        <v>760</v>
      </c>
      <c r="C158" s="26" t="s">
        <v>35</v>
      </c>
      <c r="D158" s="26">
        <v>380</v>
      </c>
      <c r="E158" s="27">
        <v>2</v>
      </c>
      <c r="F158" s="43"/>
      <c r="G158" s="43"/>
      <c r="H158" s="43"/>
      <c r="S158" s="12"/>
    </row>
    <row r="159" spans="2:19" ht="15" thickBot="1" x14ac:dyDescent="0.4">
      <c r="B159" s="13"/>
      <c r="S159" s="12"/>
    </row>
    <row r="160" spans="2:19" ht="15" thickBot="1" x14ac:dyDescent="0.4">
      <c r="B160" s="89" t="s">
        <v>38</v>
      </c>
      <c r="C160" s="90"/>
      <c r="D160" s="90"/>
      <c r="E160" s="91"/>
      <c r="S160" s="12"/>
    </row>
    <row r="161" spans="2:19" ht="15" thickBot="1" x14ac:dyDescent="0.4">
      <c r="B161" s="33" t="s">
        <v>23</v>
      </c>
      <c r="C161" s="34" t="s">
        <v>65</v>
      </c>
      <c r="D161" s="34" t="s">
        <v>36</v>
      </c>
      <c r="E161" s="35" t="s">
        <v>37</v>
      </c>
      <c r="S161" s="12"/>
    </row>
    <row r="162" spans="2:19" x14ac:dyDescent="0.35">
      <c r="B162" s="36">
        <f>D162*E162</f>
        <v>37.799999999999997</v>
      </c>
      <c r="C162" s="31" t="s">
        <v>39</v>
      </c>
      <c r="D162" s="31">
        <v>105</v>
      </c>
      <c r="E162" s="32">
        <v>0.36</v>
      </c>
      <c r="S162" s="12"/>
    </row>
    <row r="163" spans="2:19" x14ac:dyDescent="0.35">
      <c r="B163" s="23">
        <f t="shared" ref="B163:B167" si="11">D163*E163</f>
        <v>68.900000000000006</v>
      </c>
      <c r="C163" s="22" t="s">
        <v>40</v>
      </c>
      <c r="D163" s="22">
        <v>130</v>
      </c>
      <c r="E163" s="24">
        <v>0.53</v>
      </c>
      <c r="S163" s="12"/>
    </row>
    <row r="164" spans="2:19" x14ac:dyDescent="0.35">
      <c r="B164" s="23">
        <f t="shared" si="11"/>
        <v>37.5</v>
      </c>
      <c r="C164" s="22" t="s">
        <v>41</v>
      </c>
      <c r="D164" s="22">
        <v>150</v>
      </c>
      <c r="E164" s="24">
        <v>0.25</v>
      </c>
      <c r="S164" s="12"/>
    </row>
    <row r="165" spans="2:19" x14ac:dyDescent="0.35">
      <c r="B165" s="23">
        <f t="shared" si="11"/>
        <v>75</v>
      </c>
      <c r="C165" s="22" t="s">
        <v>32</v>
      </c>
      <c r="D165" s="22">
        <v>150</v>
      </c>
      <c r="E165" s="24">
        <v>0.5</v>
      </c>
      <c r="S165" s="12"/>
    </row>
    <row r="166" spans="2:19" x14ac:dyDescent="0.35">
      <c r="B166" s="23">
        <f t="shared" si="11"/>
        <v>153</v>
      </c>
      <c r="C166" s="22" t="s">
        <v>33</v>
      </c>
      <c r="D166" s="22">
        <v>170</v>
      </c>
      <c r="E166" s="24">
        <v>0.9</v>
      </c>
      <c r="S166" s="12"/>
    </row>
    <row r="167" spans="2:19" ht="15" thickBot="1" x14ac:dyDescent="0.4">
      <c r="B167" s="25">
        <f t="shared" si="11"/>
        <v>126</v>
      </c>
      <c r="C167" s="26" t="s">
        <v>42</v>
      </c>
      <c r="D167" s="26">
        <v>210</v>
      </c>
      <c r="E167" s="27">
        <v>0.6</v>
      </c>
      <c r="S167" s="12"/>
    </row>
    <row r="168" spans="2:19" x14ac:dyDescent="0.35">
      <c r="B168" s="45" t="s">
        <v>78</v>
      </c>
      <c r="S168" s="12"/>
    </row>
    <row r="169" spans="2:19" x14ac:dyDescent="0.35">
      <c r="B169" s="13"/>
      <c r="S169" s="12"/>
    </row>
    <row r="170" spans="2:19" ht="17" customHeight="1" x14ac:dyDescent="0.35"/>
  </sheetData>
  <mergeCells count="16">
    <mergeCell ref="C67:F67"/>
    <mergeCell ref="B13:C13"/>
    <mergeCell ref="C55:D55"/>
    <mergeCell ref="C56:D56"/>
    <mergeCell ref="C58:D58"/>
    <mergeCell ref="C59:D59"/>
    <mergeCell ref="C57:D57"/>
    <mergeCell ref="C66:D66"/>
    <mergeCell ref="B74:C74"/>
    <mergeCell ref="B151:E151"/>
    <mergeCell ref="B160:E160"/>
    <mergeCell ref="B102:F102"/>
    <mergeCell ref="B123:F123"/>
    <mergeCell ref="B131:F131"/>
    <mergeCell ref="B137:F137"/>
    <mergeCell ref="B145:F145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Convencionales Monofásicos</vt:lpstr>
      <vt:lpstr>Tablas</vt:lpstr>
      <vt:lpstr>Lista de materiales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Patiño</dc:creator>
  <cp:lastModifiedBy>Sergio Patiño</cp:lastModifiedBy>
  <dcterms:created xsi:type="dcterms:W3CDTF">2026-02-09T21:06:55Z</dcterms:created>
  <dcterms:modified xsi:type="dcterms:W3CDTF">2026-02-17T19:52:35Z</dcterms:modified>
</cp:coreProperties>
</file>